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ee8f3bd3743d11/Documents/Personal/"/>
    </mc:Choice>
  </mc:AlternateContent>
  <xr:revisionPtr revIDLastSave="0" documentId="8_{914BE034-3804-4A3E-9B66-FEE8E7C45635}" xr6:coauthVersionLast="47" xr6:coauthVersionMax="47" xr10:uidLastSave="{00000000-0000-0000-0000-000000000000}"/>
  <bookViews>
    <workbookView xWindow="-110" yWindow="-110" windowWidth="19420" windowHeight="11500" tabRatio="598" xr2:uid="{0FD993A8-87E9-4948-B9C5-9EEECD778611}"/>
  </bookViews>
  <sheets>
    <sheet name="READ ME &quot;Project Overview&quot;" sheetId="53" r:id="rId1"/>
    <sheet name="2023-24 Portfolio &quot;Dashboard&quot;" sheetId="49" r:id="rId2"/>
    <sheet name="2022-23 Portfolio &quot;Dashboard&quot;" sheetId="48" r:id="rId3"/>
    <sheet name="Crypto Ledger Wallet" sheetId="9" r:id="rId4"/>
    <sheet name="Expenses" sheetId="39" r:id="rId5"/>
    <sheet name="Work Hours " sheetId="40" r:id="rId6"/>
    <sheet name="Crypto Claims" sheetId="7" r:id="rId7"/>
    <sheet name="General Crypto Earnings" sheetId="6" r:id="rId8"/>
    <sheet name="Crypto Market Price Data" sheetId="4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8" l="1"/>
  <c r="AQ329" i="39"/>
  <c r="AQ310" i="39"/>
  <c r="AQ304" i="39"/>
  <c r="AQ295" i="39"/>
  <c r="AQ289" i="39"/>
  <c r="AQ265" i="39"/>
  <c r="AQ279" i="39" s="1"/>
  <c r="AQ253" i="39"/>
  <c r="AQ255" i="39" s="1"/>
  <c r="AQ230" i="39"/>
  <c r="AQ210" i="39"/>
  <c r="AQ197" i="39"/>
  <c r="AQ188" i="39"/>
  <c r="C301" i="39"/>
  <c r="AV301" i="39"/>
  <c r="C302" i="39"/>
  <c r="BA302" i="39"/>
  <c r="BF280" i="39"/>
  <c r="C303" i="39"/>
  <c r="C304" i="39"/>
  <c r="C305" i="39"/>
  <c r="C306" i="39"/>
  <c r="C307" i="39"/>
  <c r="AV307" i="39"/>
  <c r="C308" i="39"/>
  <c r="C309" i="39"/>
  <c r="C310" i="39"/>
  <c r="C311" i="39"/>
  <c r="C312" i="39"/>
  <c r="BF292" i="39"/>
  <c r="BF300" i="39"/>
  <c r="BA324" i="39"/>
  <c r="W16" i="40"/>
  <c r="W17" i="40"/>
  <c r="V18" i="40"/>
  <c r="W18" i="40"/>
  <c r="V20" i="40"/>
  <c r="W20" i="40"/>
  <c r="W26" i="40"/>
  <c r="V27" i="40"/>
  <c r="W27" i="40"/>
  <c r="V29" i="40"/>
  <c r="W29" i="40"/>
  <c r="H125" i="39"/>
  <c r="E86" i="7"/>
  <c r="F61" i="6"/>
  <c r="C32" i="9"/>
  <c r="C17" i="46" a="1"/>
  <c r="C17" i="46" s="1"/>
  <c r="C5" i="46" a="1"/>
  <c r="C5" i="46" s="1"/>
  <c r="H34" i="7"/>
  <c r="C34" i="7"/>
  <c r="F30" i="7"/>
  <c r="C18" i="7"/>
  <c r="B23" i="7" s="1"/>
  <c r="F14" i="7"/>
  <c r="M356" i="40"/>
  <c r="P356" i="40" s="1"/>
  <c r="M355" i="40"/>
  <c r="P355" i="40" s="1"/>
  <c r="M354" i="40"/>
  <c r="M349" i="40"/>
  <c r="Q349" i="40" s="1"/>
  <c r="M351" i="40"/>
  <c r="P351" i="40" s="1"/>
  <c r="M350" i="40"/>
  <c r="Q350" i="40" s="1"/>
  <c r="O370" i="40"/>
  <c r="N370" i="40"/>
  <c r="L370" i="40"/>
  <c r="M369" i="40"/>
  <c r="Q369" i="40" s="1"/>
  <c r="M368" i="40"/>
  <c r="Q368" i="40" s="1"/>
  <c r="M367" i="40"/>
  <c r="Q367" i="40" s="1"/>
  <c r="M366" i="40"/>
  <c r="Q366" i="40" s="1"/>
  <c r="C30" i="46" a="1"/>
  <c r="C30" i="46" s="1"/>
  <c r="BF265" i="39"/>
  <c r="BA249" i="39"/>
  <c r="BA248" i="39"/>
  <c r="BA266" i="39"/>
  <c r="BA234" i="39"/>
  <c r="BA232" i="39"/>
  <c r="AV197" i="39"/>
  <c r="AV260" i="39"/>
  <c r="AV273" i="39" s="1"/>
  <c r="AL232" i="39"/>
  <c r="O364" i="40"/>
  <c r="N364" i="40"/>
  <c r="L364" i="40"/>
  <c r="M363" i="40"/>
  <c r="P363" i="40" s="1"/>
  <c r="M362" i="40"/>
  <c r="P362" i="40" s="1"/>
  <c r="M361" i="40"/>
  <c r="Q361" i="40" s="1"/>
  <c r="M360" i="40"/>
  <c r="Q360" i="40" s="1"/>
  <c r="M357" i="40"/>
  <c r="Q357" i="40" s="1"/>
  <c r="O358" i="40"/>
  <c r="N358" i="40"/>
  <c r="L358" i="40"/>
  <c r="O352" i="40"/>
  <c r="N352" i="40"/>
  <c r="L352" i="40"/>
  <c r="M339" i="40"/>
  <c r="Q339" i="40" s="1"/>
  <c r="O340" i="40"/>
  <c r="N340" i="40"/>
  <c r="L340" i="40"/>
  <c r="M338" i="40"/>
  <c r="P338" i="40" s="1"/>
  <c r="M337" i="40"/>
  <c r="M334" i="40"/>
  <c r="Q334" i="40" s="1"/>
  <c r="M331" i="40"/>
  <c r="P331" i="40" s="1"/>
  <c r="M333" i="40"/>
  <c r="Q333" i="40" s="1"/>
  <c r="L335" i="40"/>
  <c r="O335" i="40"/>
  <c r="N335" i="40"/>
  <c r="M332" i="40"/>
  <c r="Q332" i="40" s="1"/>
  <c r="M330" i="40"/>
  <c r="P330" i="40" s="1"/>
  <c r="M327" i="40"/>
  <c r="Q327" i="40" s="1"/>
  <c r="M325" i="40"/>
  <c r="Q325" i="40" s="1"/>
  <c r="O328" i="40"/>
  <c r="N328" i="40"/>
  <c r="L328" i="40"/>
  <c r="M326" i="40"/>
  <c r="Q326" i="40" s="1"/>
  <c r="M324" i="40"/>
  <c r="M320" i="40"/>
  <c r="Q320" i="40" s="1"/>
  <c r="N311" i="40"/>
  <c r="O311" i="40"/>
  <c r="L311" i="40"/>
  <c r="O322" i="40"/>
  <c r="N322" i="40"/>
  <c r="L322" i="40"/>
  <c r="M321" i="40"/>
  <c r="Q321" i="40" s="1"/>
  <c r="M319" i="40"/>
  <c r="Q319" i="40" s="1"/>
  <c r="C6" i="49"/>
  <c r="D6" i="49" s="1"/>
  <c r="M310" i="40"/>
  <c r="Q310" i="40" s="1"/>
  <c r="M309" i="40"/>
  <c r="Q309" i="40" s="1"/>
  <c r="M308" i="40"/>
  <c r="Q308" i="40" s="1"/>
  <c r="M307" i="40"/>
  <c r="Q307" i="40" s="1"/>
  <c r="M306" i="40"/>
  <c r="Q306" i="40" s="1"/>
  <c r="M302" i="40"/>
  <c r="P302" i="40" s="1"/>
  <c r="O304" i="40"/>
  <c r="N304" i="40"/>
  <c r="L304" i="40"/>
  <c r="M303" i="40"/>
  <c r="Q303" i="40" s="1"/>
  <c r="M301" i="40"/>
  <c r="Q301" i="40" s="1"/>
  <c r="M300" i="40"/>
  <c r="M297" i="40"/>
  <c r="Q297" i="40" s="1"/>
  <c r="M296" i="40"/>
  <c r="Q296" i="40" s="1"/>
  <c r="M295" i="40"/>
  <c r="Q295" i="40" s="1"/>
  <c r="M288" i="40"/>
  <c r="Q288" i="40" s="1"/>
  <c r="L298" i="40"/>
  <c r="O291" i="40"/>
  <c r="O298" i="40"/>
  <c r="N298" i="40"/>
  <c r="M294" i="40"/>
  <c r="Q294" i="40" s="1"/>
  <c r="M293" i="40"/>
  <c r="N291" i="40"/>
  <c r="L291" i="40"/>
  <c r="M290" i="40"/>
  <c r="Q290" i="40" s="1"/>
  <c r="M289" i="40"/>
  <c r="Q289" i="40" s="1"/>
  <c r="L279" i="40"/>
  <c r="AG234" i="39"/>
  <c r="AG215" i="39"/>
  <c r="AB287" i="39"/>
  <c r="AB238" i="39"/>
  <c r="W229" i="39"/>
  <c r="W273" i="39"/>
  <c r="N279" i="40"/>
  <c r="O279" i="40"/>
  <c r="M278" i="40"/>
  <c r="Q278" i="40" s="1"/>
  <c r="M277" i="40"/>
  <c r="Q277" i="40" s="1"/>
  <c r="M276" i="40"/>
  <c r="P276" i="40" s="1"/>
  <c r="M275" i="40"/>
  <c r="Q275" i="40" s="1"/>
  <c r="O273" i="40"/>
  <c r="M272" i="40"/>
  <c r="Q272" i="40" s="1"/>
  <c r="M271" i="40"/>
  <c r="Q271" i="40" s="1"/>
  <c r="M268" i="40"/>
  <c r="Q268" i="40" s="1"/>
  <c r="M252" i="40"/>
  <c r="Q252" i="40" s="1"/>
  <c r="M248" i="40"/>
  <c r="P248" i="40" s="1"/>
  <c r="M243" i="40"/>
  <c r="Q243" i="40" s="1"/>
  <c r="M242" i="40"/>
  <c r="Q242" i="40" s="1"/>
  <c r="M234" i="40"/>
  <c r="Q234" i="40" s="1"/>
  <c r="M220" i="40"/>
  <c r="P220" i="40" s="1"/>
  <c r="M217" i="40"/>
  <c r="M23" i="40"/>
  <c r="M19" i="40"/>
  <c r="M17" i="40"/>
  <c r="M16" i="40"/>
  <c r="N273" i="40"/>
  <c r="L273" i="40"/>
  <c r="M270" i="40"/>
  <c r="Q270" i="40" s="1"/>
  <c r="M269" i="40"/>
  <c r="Q269" i="40" s="1"/>
  <c r="M265" i="40"/>
  <c r="Q265" i="40" s="1"/>
  <c r="M261" i="40"/>
  <c r="Q261" i="40" s="1"/>
  <c r="O266" i="40"/>
  <c r="N266" i="40"/>
  <c r="L266" i="40"/>
  <c r="M264" i="40"/>
  <c r="M263" i="40"/>
  <c r="Q263" i="40" s="1"/>
  <c r="O253" i="40"/>
  <c r="N253" i="40"/>
  <c r="L253" i="40"/>
  <c r="M251" i="40"/>
  <c r="M247" i="40"/>
  <c r="P247" i="40" s="1"/>
  <c r="M246" i="40"/>
  <c r="P246" i="40" s="1"/>
  <c r="L249" i="40"/>
  <c r="N249" i="40"/>
  <c r="O249" i="40"/>
  <c r="M241" i="40"/>
  <c r="P241" i="40" s="1"/>
  <c r="O244" i="40"/>
  <c r="N244" i="40"/>
  <c r="L244" i="40"/>
  <c r="O239" i="40"/>
  <c r="N239" i="40"/>
  <c r="L239" i="40"/>
  <c r="M238" i="40"/>
  <c r="Q238" i="40" s="1"/>
  <c r="M237" i="40"/>
  <c r="Q237" i="40" s="1"/>
  <c r="N235" i="40"/>
  <c r="O235" i="40"/>
  <c r="L235" i="40"/>
  <c r="L214" i="40"/>
  <c r="L223" i="40"/>
  <c r="M231" i="40"/>
  <c r="M233" i="40"/>
  <c r="P233" i="40" s="1"/>
  <c r="M232" i="40"/>
  <c r="M222" i="40"/>
  <c r="Q222" i="40" s="1"/>
  <c r="M209" i="40"/>
  <c r="P209" i="40" s="1"/>
  <c r="L127" i="40"/>
  <c r="L136" i="40"/>
  <c r="L177" i="40"/>
  <c r="L184" i="40"/>
  <c r="L189" i="40"/>
  <c r="L195" i="40"/>
  <c r="L201" i="40"/>
  <c r="N223" i="40"/>
  <c r="O223" i="40"/>
  <c r="L218" i="40"/>
  <c r="N214" i="40"/>
  <c r="O214" i="40"/>
  <c r="O218" i="40"/>
  <c r="M221" i="40"/>
  <c r="P221" i="40" s="1"/>
  <c r="I41" i="9"/>
  <c r="M216" i="40"/>
  <c r="N218" i="40"/>
  <c r="M211" i="40"/>
  <c r="P211" i="40" s="1"/>
  <c r="M213" i="40"/>
  <c r="Q213" i="40" s="1"/>
  <c r="M212" i="40"/>
  <c r="Q212" i="40" s="1"/>
  <c r="N201" i="40"/>
  <c r="O201" i="40"/>
  <c r="M199" i="40"/>
  <c r="Q199" i="40" s="1"/>
  <c r="M197" i="40"/>
  <c r="P197" i="40" s="1"/>
  <c r="M200" i="40"/>
  <c r="P200" i="40" s="1"/>
  <c r="M198" i="40"/>
  <c r="Q198" i="40" s="1"/>
  <c r="M194" i="40"/>
  <c r="Q194" i="40" s="1"/>
  <c r="M193" i="40"/>
  <c r="O195" i="40"/>
  <c r="N195" i="40"/>
  <c r="M192" i="40"/>
  <c r="Q192" i="40" s="1"/>
  <c r="M191" i="40"/>
  <c r="Q191" i="40" s="1"/>
  <c r="M188" i="40"/>
  <c r="Q188" i="40" s="1"/>
  <c r="M187" i="40"/>
  <c r="P187" i="40" s="1"/>
  <c r="M186" i="40"/>
  <c r="Q186" i="40" s="1"/>
  <c r="M182" i="40"/>
  <c r="P182" i="40" s="1"/>
  <c r="M183" i="40"/>
  <c r="Q183" i="40" s="1"/>
  <c r="M181" i="40"/>
  <c r="P181" i="40" s="1"/>
  <c r="O189" i="40"/>
  <c r="N189" i="40"/>
  <c r="O184" i="40"/>
  <c r="N184" i="40"/>
  <c r="M180" i="40"/>
  <c r="Q180" i="40" s="1"/>
  <c r="M179" i="40"/>
  <c r="Q179" i="40" s="1"/>
  <c r="M176" i="40"/>
  <c r="P176" i="40" s="1"/>
  <c r="M175" i="40"/>
  <c r="Q175" i="40" s="1"/>
  <c r="M174" i="40"/>
  <c r="Q174" i="40" s="1"/>
  <c r="O177" i="40"/>
  <c r="N177" i="40"/>
  <c r="M173" i="40"/>
  <c r="Q173" i="40" s="1"/>
  <c r="M164" i="40"/>
  <c r="P164" i="40" s="1"/>
  <c r="M158" i="40"/>
  <c r="M163" i="40"/>
  <c r="Q163" i="40" s="1"/>
  <c r="O165" i="40"/>
  <c r="N165" i="40"/>
  <c r="L165" i="40"/>
  <c r="M162" i="40"/>
  <c r="Q162" i="40" s="1"/>
  <c r="H18" i="7" l="1"/>
  <c r="C23" i="7"/>
  <c r="I76" i="9"/>
  <c r="D45" i="9"/>
  <c r="F27" i="7"/>
  <c r="F86" i="7"/>
  <c r="D34" i="7"/>
  <c r="I34" i="7"/>
  <c r="D7" i="9"/>
  <c r="D18" i="7"/>
  <c r="H14" i="7"/>
  <c r="C35" i="7"/>
  <c r="H35" i="7"/>
  <c r="L225" i="40"/>
  <c r="P369" i="40"/>
  <c r="P368" i="40"/>
  <c r="P366" i="40"/>
  <c r="M370" i="40"/>
  <c r="P367" i="40"/>
  <c r="N313" i="40"/>
  <c r="L313" i="40"/>
  <c r="L343" i="40"/>
  <c r="L203" i="40"/>
  <c r="N343" i="40"/>
  <c r="L282" i="40"/>
  <c r="L255" i="40"/>
  <c r="Q362" i="40"/>
  <c r="Q363" i="40"/>
  <c r="P360" i="40"/>
  <c r="M364" i="40"/>
  <c r="P361" i="40"/>
  <c r="O343" i="40"/>
  <c r="L373" i="40"/>
  <c r="N373" i="40"/>
  <c r="O373" i="40"/>
  <c r="P357" i="40"/>
  <c r="Q356" i="40"/>
  <c r="M358" i="40"/>
  <c r="P358" i="40" s="1"/>
  <c r="P354" i="40"/>
  <c r="Q354" i="40"/>
  <c r="P349" i="40"/>
  <c r="Q355" i="40"/>
  <c r="P350" i="40"/>
  <c r="Q351" i="40"/>
  <c r="M352" i="40"/>
  <c r="Q352" i="40" s="1"/>
  <c r="Q338" i="40"/>
  <c r="M340" i="40"/>
  <c r="Q340" i="40" s="1"/>
  <c r="P339" i="40"/>
  <c r="P337" i="40"/>
  <c r="Q337" i="40"/>
  <c r="P333" i="40"/>
  <c r="P332" i="40"/>
  <c r="Q331" i="40"/>
  <c r="P334" i="40"/>
  <c r="M335" i="40"/>
  <c r="Q330" i="40"/>
  <c r="M328" i="40"/>
  <c r="Q328" i="40" s="1"/>
  <c r="Q324" i="40"/>
  <c r="P324" i="40"/>
  <c r="P326" i="40"/>
  <c r="P325" i="40"/>
  <c r="P327" i="40"/>
  <c r="O313" i="40"/>
  <c r="M311" i="40"/>
  <c r="Q311" i="40" s="1"/>
  <c r="M322" i="40"/>
  <c r="P319" i="40"/>
  <c r="P321" i="40"/>
  <c r="P320" i="40"/>
  <c r="P310" i="40"/>
  <c r="P307" i="40"/>
  <c r="P308" i="40"/>
  <c r="P309" i="40"/>
  <c r="P306" i="40"/>
  <c r="P296" i="40"/>
  <c r="Q302" i="40"/>
  <c r="P301" i="40"/>
  <c r="M304" i="40"/>
  <c r="Q304" i="40" s="1"/>
  <c r="P300" i="40"/>
  <c r="P303" i="40"/>
  <c r="Q300" i="40"/>
  <c r="M298" i="40"/>
  <c r="Q298" i="40" s="1"/>
  <c r="P293" i="40"/>
  <c r="P297" i="40"/>
  <c r="Q293" i="40"/>
  <c r="P294" i="40"/>
  <c r="P295" i="40"/>
  <c r="P289" i="40"/>
  <c r="P290" i="40"/>
  <c r="P288" i="40"/>
  <c r="M291" i="40"/>
  <c r="O282" i="40"/>
  <c r="N282" i="40"/>
  <c r="O225" i="40"/>
  <c r="O255" i="40"/>
  <c r="P275" i="40"/>
  <c r="Q276" i="40"/>
  <c r="P277" i="40"/>
  <c r="M279" i="40"/>
  <c r="Q279" i="40" s="1"/>
  <c r="P278" i="40"/>
  <c r="P271" i="40"/>
  <c r="P270" i="40"/>
  <c r="P272" i="40"/>
  <c r="P268" i="40"/>
  <c r="M273" i="40"/>
  <c r="P269" i="40"/>
  <c r="M235" i="40"/>
  <c r="M244" i="40"/>
  <c r="N255" i="40"/>
  <c r="M239" i="40"/>
  <c r="M249" i="40"/>
  <c r="M266" i="40"/>
  <c r="P261" i="40"/>
  <c r="P264" i="40"/>
  <c r="Q264" i="40"/>
  <c r="P265" i="40"/>
  <c r="P263" i="40"/>
  <c r="M253" i="40"/>
  <c r="P253" i="40" s="1"/>
  <c r="P252" i="40"/>
  <c r="P251" i="40"/>
  <c r="Q251" i="40"/>
  <c r="Q248" i="40"/>
  <c r="Q247" i="40"/>
  <c r="Q246" i="40"/>
  <c r="Q241" i="40"/>
  <c r="P243" i="40"/>
  <c r="P242" i="40"/>
  <c r="P237" i="40"/>
  <c r="P238" i="40"/>
  <c r="P231" i="40"/>
  <c r="Q231" i="40"/>
  <c r="P234" i="40"/>
  <c r="P232" i="40"/>
  <c r="Q232" i="40"/>
  <c r="Q233" i="40"/>
  <c r="N225" i="40"/>
  <c r="Q209" i="40"/>
  <c r="M201" i="40"/>
  <c r="P201" i="40" s="1"/>
  <c r="M214" i="40"/>
  <c r="M195" i="40"/>
  <c r="M189" i="40"/>
  <c r="M223" i="40"/>
  <c r="M177" i="40"/>
  <c r="Q220" i="40"/>
  <c r="Q221" i="40"/>
  <c r="P222" i="40"/>
  <c r="M218" i="40"/>
  <c r="P218" i="40" s="1"/>
  <c r="Q217" i="40"/>
  <c r="P217" i="40"/>
  <c r="P216" i="40"/>
  <c r="Q216" i="40"/>
  <c r="Q211" i="40"/>
  <c r="P212" i="40"/>
  <c r="P213" i="40"/>
  <c r="N203" i="40"/>
  <c r="O203" i="40"/>
  <c r="Q197" i="40"/>
  <c r="P198" i="40"/>
  <c r="Q200" i="40"/>
  <c r="P199" i="40"/>
  <c r="P191" i="40"/>
  <c r="Q193" i="40"/>
  <c r="P194" i="40"/>
  <c r="P193" i="40"/>
  <c r="P192" i="40"/>
  <c r="P188" i="40"/>
  <c r="Q187" i="40"/>
  <c r="P186" i="40"/>
  <c r="Q181" i="40"/>
  <c r="P180" i="40"/>
  <c r="P183" i="40"/>
  <c r="M184" i="40"/>
  <c r="Q184" i="40" s="1"/>
  <c r="Q182" i="40"/>
  <c r="P179" i="40"/>
  <c r="P173" i="40"/>
  <c r="Q176" i="40"/>
  <c r="P175" i="40"/>
  <c r="P174" i="40"/>
  <c r="Q164" i="40"/>
  <c r="P163" i="40"/>
  <c r="M165" i="40"/>
  <c r="P162" i="40"/>
  <c r="R279" i="39"/>
  <c r="R267" i="39"/>
  <c r="R260" i="39"/>
  <c r="R231" i="39"/>
  <c r="R222" i="39"/>
  <c r="R212" i="39"/>
  <c r="M296" i="39"/>
  <c r="M298" i="39" s="1"/>
  <c r="M278" i="39"/>
  <c r="M263" i="39"/>
  <c r="M269" i="39"/>
  <c r="M249" i="39"/>
  <c r="O160" i="40"/>
  <c r="N160" i="40"/>
  <c r="L160" i="40"/>
  <c r="M159" i="40"/>
  <c r="P159" i="40" s="1"/>
  <c r="Q158" i="40"/>
  <c r="M157" i="40"/>
  <c r="P157" i="40" s="1"/>
  <c r="M156" i="40"/>
  <c r="P156" i="40" s="1"/>
  <c r="I19" i="9"/>
  <c r="M151" i="40"/>
  <c r="M150" i="40"/>
  <c r="P150" i="40" s="1"/>
  <c r="O154" i="40"/>
  <c r="N154" i="40"/>
  <c r="L154" i="40"/>
  <c r="M153" i="40"/>
  <c r="Q153" i="40" s="1"/>
  <c r="M152" i="40"/>
  <c r="Q152" i="40" s="1"/>
  <c r="M149" i="40"/>
  <c r="Q149" i="40" s="1"/>
  <c r="M145" i="40"/>
  <c r="Q145" i="40" s="1"/>
  <c r="M146" i="40"/>
  <c r="Q146" i="40" s="1"/>
  <c r="O136" i="40"/>
  <c r="N136" i="40"/>
  <c r="N91" i="40"/>
  <c r="N104" i="40"/>
  <c r="M135" i="40"/>
  <c r="Q135" i="40" s="1"/>
  <c r="M144" i="40"/>
  <c r="Q144" i="40" s="1"/>
  <c r="O147" i="40"/>
  <c r="N147" i="40"/>
  <c r="L147" i="40"/>
  <c r="I73" i="9"/>
  <c r="G31" i="6"/>
  <c r="L167" i="40" l="1"/>
  <c r="C49" i="49"/>
  <c r="C49" i="48"/>
  <c r="I35" i="7"/>
  <c r="H36" i="7"/>
  <c r="C36" i="7"/>
  <c r="D35" i="7"/>
  <c r="Q370" i="40"/>
  <c r="P370" i="40"/>
  <c r="M203" i="40"/>
  <c r="Q203" i="40" s="1"/>
  <c r="M225" i="40"/>
  <c r="M313" i="40"/>
  <c r="Q235" i="40"/>
  <c r="M255" i="40"/>
  <c r="Q255" i="40" s="1"/>
  <c r="M343" i="40"/>
  <c r="Q343" i="40" s="1"/>
  <c r="C20" i="49" s="1"/>
  <c r="M282" i="40"/>
  <c r="Q282" i="40" s="1"/>
  <c r="C18" i="49" s="1"/>
  <c r="Q364" i="40"/>
  <c r="P364" i="40"/>
  <c r="Q358" i="40"/>
  <c r="M373" i="40"/>
  <c r="P352" i="40"/>
  <c r="P340" i="40"/>
  <c r="Q335" i="40"/>
  <c r="P335" i="40"/>
  <c r="P328" i="40"/>
  <c r="P322" i="40"/>
  <c r="Q322" i="40"/>
  <c r="P343" i="40"/>
  <c r="Q291" i="40"/>
  <c r="P311" i="40"/>
  <c r="P304" i="40"/>
  <c r="P298" i="40"/>
  <c r="P291" i="40"/>
  <c r="P279" i="40"/>
  <c r="Q253" i="40"/>
  <c r="Q273" i="40"/>
  <c r="P273" i="40"/>
  <c r="P266" i="40"/>
  <c r="Q266" i="40"/>
  <c r="Q249" i="40"/>
  <c r="P249" i="40"/>
  <c r="Q244" i="40"/>
  <c r="P244" i="40"/>
  <c r="Q239" i="40"/>
  <c r="P239" i="40"/>
  <c r="P235" i="40"/>
  <c r="Q218" i="40"/>
  <c r="P223" i="40"/>
  <c r="Q223" i="40"/>
  <c r="Q214" i="40"/>
  <c r="P214" i="40"/>
  <c r="Q201" i="40"/>
  <c r="O167" i="40"/>
  <c r="Q195" i="40"/>
  <c r="P195" i="40"/>
  <c r="P189" i="40"/>
  <c r="Q189" i="40"/>
  <c r="N167" i="40"/>
  <c r="P184" i="40"/>
  <c r="Q177" i="40"/>
  <c r="P177" i="40"/>
  <c r="Q165" i="40"/>
  <c r="P165" i="40"/>
  <c r="P158" i="40"/>
  <c r="Q157" i="40"/>
  <c r="Q159" i="40"/>
  <c r="Q156" i="40"/>
  <c r="M160" i="40"/>
  <c r="M154" i="40"/>
  <c r="Q151" i="40"/>
  <c r="Q150" i="40"/>
  <c r="P152" i="40"/>
  <c r="P151" i="40"/>
  <c r="P153" i="40"/>
  <c r="P149" i="40"/>
  <c r="P135" i="40"/>
  <c r="P146" i="40"/>
  <c r="M147" i="40"/>
  <c r="P144" i="40"/>
  <c r="P145" i="40"/>
  <c r="M131" i="40"/>
  <c r="Q131" i="40" s="1"/>
  <c r="M132" i="40"/>
  <c r="P132" i="40" s="1"/>
  <c r="M130" i="40"/>
  <c r="Q130" i="40" s="1"/>
  <c r="M134" i="40"/>
  <c r="Q134" i="40" s="1"/>
  <c r="M133" i="40"/>
  <c r="Q133" i="40" s="1"/>
  <c r="M129" i="40"/>
  <c r="N127" i="40"/>
  <c r="M125" i="40"/>
  <c r="M126" i="40"/>
  <c r="Q126" i="40" s="1"/>
  <c r="M124" i="40"/>
  <c r="Q124" i="40" s="1"/>
  <c r="M123" i="40"/>
  <c r="Q123" i="40" s="1"/>
  <c r="M122" i="40"/>
  <c r="P122" i="40" s="1"/>
  <c r="O127" i="40"/>
  <c r="M243" i="39"/>
  <c r="D29" i="49" s="1"/>
  <c r="H271" i="39"/>
  <c r="C33" i="49" s="1"/>
  <c r="H256" i="39"/>
  <c r="C31" i="49" s="1"/>
  <c r="H243" i="39"/>
  <c r="C29" i="49" s="1"/>
  <c r="H221" i="39"/>
  <c r="C28" i="49" s="1"/>
  <c r="H214" i="39"/>
  <c r="C27" i="49" s="1"/>
  <c r="H196" i="39"/>
  <c r="C26" i="49" s="1"/>
  <c r="D59" i="9"/>
  <c r="O120" i="40"/>
  <c r="N120" i="40"/>
  <c r="L120" i="40"/>
  <c r="M119" i="40"/>
  <c r="M120" i="40" s="1"/>
  <c r="L117" i="40"/>
  <c r="M115" i="40"/>
  <c r="Q115" i="40" s="1"/>
  <c r="M114" i="40"/>
  <c r="P114" i="40" s="1"/>
  <c r="L104" i="40"/>
  <c r="M101" i="40"/>
  <c r="P101" i="40" s="1"/>
  <c r="M100" i="40"/>
  <c r="M103" i="40"/>
  <c r="O104" i="40"/>
  <c r="M113" i="40"/>
  <c r="P113" i="40" s="1"/>
  <c r="M112" i="40"/>
  <c r="Q112" i="40" s="1"/>
  <c r="M102" i="40"/>
  <c r="P102" i="40" s="1"/>
  <c r="M98" i="40"/>
  <c r="P98" i="40" s="1"/>
  <c r="M97" i="40"/>
  <c r="P97" i="40" s="1"/>
  <c r="M96" i="40"/>
  <c r="I43" i="9"/>
  <c r="I39" i="9"/>
  <c r="M116" i="40"/>
  <c r="P116" i="40" s="1"/>
  <c r="M99" i="40"/>
  <c r="P99" i="40" s="1"/>
  <c r="M93" i="40"/>
  <c r="M94" i="40" s="1"/>
  <c r="L94" i="40"/>
  <c r="N94" i="40"/>
  <c r="O94" i="40"/>
  <c r="O117" i="40"/>
  <c r="N117" i="40"/>
  <c r="M90" i="40"/>
  <c r="Q90" i="40" s="1"/>
  <c r="L91" i="40"/>
  <c r="M88" i="40"/>
  <c r="Q88" i="40" s="1"/>
  <c r="M89" i="40"/>
  <c r="Q89" i="40" s="1"/>
  <c r="M87" i="40"/>
  <c r="Q87" i="40" s="1"/>
  <c r="O91" i="40"/>
  <c r="N85" i="40"/>
  <c r="L85" i="40"/>
  <c r="I22" i="9"/>
  <c r="M83" i="40"/>
  <c r="P83" i="40" s="1"/>
  <c r="E133" i="7"/>
  <c r="E131" i="7"/>
  <c r="O85" i="40"/>
  <c r="M84" i="40"/>
  <c r="P84" i="40" s="1"/>
  <c r="M82" i="40"/>
  <c r="Q82" i="40" s="1"/>
  <c r="M81" i="40"/>
  <c r="Q81" i="40" s="1"/>
  <c r="H290" i="39"/>
  <c r="C35" i="49" s="1"/>
  <c r="O79" i="40"/>
  <c r="N79" i="40"/>
  <c r="L79" i="40"/>
  <c r="M78" i="40"/>
  <c r="P78" i="40" s="1"/>
  <c r="M77" i="40"/>
  <c r="Q77" i="40" s="1"/>
  <c r="M76" i="40"/>
  <c r="M67" i="40"/>
  <c r="Q67" i="40" s="1"/>
  <c r="M66" i="40"/>
  <c r="O68" i="40"/>
  <c r="N68" i="40"/>
  <c r="L68" i="40"/>
  <c r="M63" i="40"/>
  <c r="P63" i="40" s="1"/>
  <c r="M62" i="40"/>
  <c r="O64" i="40"/>
  <c r="N64" i="40"/>
  <c r="L64" i="40"/>
  <c r="M59" i="40"/>
  <c r="Q59" i="40" s="1"/>
  <c r="M58" i="40"/>
  <c r="Q58" i="40" s="1"/>
  <c r="O60" i="40"/>
  <c r="N60" i="40"/>
  <c r="L60" i="40"/>
  <c r="O56" i="40"/>
  <c r="L56" i="40"/>
  <c r="M55" i="40"/>
  <c r="Q55" i="40" s="1"/>
  <c r="M54" i="40"/>
  <c r="Q54" i="40" s="1"/>
  <c r="N56" i="40"/>
  <c r="M53" i="40"/>
  <c r="Q53" i="40" s="1"/>
  <c r="M52" i="40"/>
  <c r="P52" i="40" s="1"/>
  <c r="O44" i="40"/>
  <c r="I55" i="9"/>
  <c r="I42" i="9"/>
  <c r="I40" i="9"/>
  <c r="M42" i="40"/>
  <c r="Q42" i="40" s="1"/>
  <c r="M43" i="40"/>
  <c r="Q43" i="40" s="1"/>
  <c r="L38" i="40"/>
  <c r="N38" i="40"/>
  <c r="O38" i="40"/>
  <c r="N44" i="40"/>
  <c r="L44" i="40"/>
  <c r="L21" i="40"/>
  <c r="L27" i="40"/>
  <c r="L33" i="40"/>
  <c r="M41" i="40"/>
  <c r="Q41" i="40" s="1"/>
  <c r="M40" i="40"/>
  <c r="Q40" i="40" s="1"/>
  <c r="M37" i="40"/>
  <c r="Q37" i="40" s="1"/>
  <c r="M36" i="40"/>
  <c r="Q36" i="40" s="1"/>
  <c r="M35" i="40"/>
  <c r="Q35" i="40" s="1"/>
  <c r="M32" i="40"/>
  <c r="P32" i="40" s="1"/>
  <c r="BF322" i="39"/>
  <c r="M35" i="49" s="1"/>
  <c r="M34" i="49"/>
  <c r="M33" i="49"/>
  <c r="M32" i="49"/>
  <c r="BF274" i="39"/>
  <c r="M31" i="49" s="1"/>
  <c r="BF267" i="39"/>
  <c r="M30" i="49" s="1"/>
  <c r="BF250" i="39"/>
  <c r="M29" i="49" s="1"/>
  <c r="BF229" i="39"/>
  <c r="M28" i="49" s="1"/>
  <c r="BF218" i="39"/>
  <c r="M27" i="49" s="1"/>
  <c r="BF197" i="39"/>
  <c r="M26" i="49" s="1"/>
  <c r="BF188" i="39"/>
  <c r="BF182" i="39"/>
  <c r="L35" i="49"/>
  <c r="L34" i="49"/>
  <c r="BA294" i="39"/>
  <c r="L33" i="49" s="1"/>
  <c r="BA283" i="39"/>
  <c r="L32" i="49" s="1"/>
  <c r="BA277" i="39"/>
  <c r="L31" i="49" s="1"/>
  <c r="BA270" i="39"/>
  <c r="L30" i="49" s="1"/>
  <c r="BA252" i="39"/>
  <c r="L29" i="49" s="1"/>
  <c r="BA225" i="39"/>
  <c r="L28" i="49" s="1"/>
  <c r="BA215" i="39"/>
  <c r="L27" i="49" s="1"/>
  <c r="BA197" i="39"/>
  <c r="L26" i="49" s="1"/>
  <c r="BA188" i="39"/>
  <c r="BA182" i="39"/>
  <c r="AV327" i="39"/>
  <c r="K35" i="49" s="1"/>
  <c r="K34" i="49"/>
  <c r="K33" i="49"/>
  <c r="AV290" i="39"/>
  <c r="K32" i="49" s="1"/>
  <c r="AV284" i="39"/>
  <c r="K31" i="49" s="1"/>
  <c r="K30" i="49"/>
  <c r="AV244" i="39"/>
  <c r="K29" i="49" s="1"/>
  <c r="AV225" i="39"/>
  <c r="K28" i="49" s="1"/>
  <c r="AV216" i="39"/>
  <c r="K27" i="49" s="1"/>
  <c r="K26" i="49"/>
  <c r="AV188" i="39"/>
  <c r="AV182" i="39"/>
  <c r="J35" i="49"/>
  <c r="J34" i="49"/>
  <c r="J33" i="49"/>
  <c r="J32" i="49"/>
  <c r="J31" i="49"/>
  <c r="J30" i="49"/>
  <c r="J29" i="49"/>
  <c r="J28" i="49"/>
  <c r="J27" i="49"/>
  <c r="J26" i="49"/>
  <c r="AQ182" i="39"/>
  <c r="AL288" i="39"/>
  <c r="I35" i="49" s="1"/>
  <c r="AL270" i="39"/>
  <c r="I34" i="49" s="1"/>
  <c r="AL264" i="39"/>
  <c r="I33" i="49" s="1"/>
  <c r="AL253" i="39"/>
  <c r="I32" i="49" s="1"/>
  <c r="AL247" i="39"/>
  <c r="I31" i="49" s="1"/>
  <c r="AL241" i="39"/>
  <c r="I30" i="49" s="1"/>
  <c r="I29" i="49"/>
  <c r="AL219" i="39"/>
  <c r="I28" i="49" s="1"/>
  <c r="AL212" i="39"/>
  <c r="I27" i="49" s="1"/>
  <c r="AL197" i="39"/>
  <c r="I26" i="49" s="1"/>
  <c r="AL188" i="39"/>
  <c r="AL182" i="39"/>
  <c r="AG282" i="39"/>
  <c r="H35" i="49" s="1"/>
  <c r="AG268" i="39"/>
  <c r="H34" i="49" s="1"/>
  <c r="AG262" i="39"/>
  <c r="H33" i="49" s="1"/>
  <c r="AG252" i="39"/>
  <c r="H32" i="49" s="1"/>
  <c r="AG246" i="39"/>
  <c r="H31" i="49" s="1"/>
  <c r="AG240" i="39"/>
  <c r="H30" i="49" s="1"/>
  <c r="H29" i="49"/>
  <c r="AG226" i="39"/>
  <c r="H28" i="49" s="1"/>
  <c r="H27" i="49"/>
  <c r="AG197" i="39"/>
  <c r="H26" i="49" s="1"/>
  <c r="AG188" i="39"/>
  <c r="AG182" i="39"/>
  <c r="G35" i="49"/>
  <c r="AB273" i="39"/>
  <c r="G34" i="49" s="1"/>
  <c r="AB267" i="39"/>
  <c r="G33" i="49" s="1"/>
  <c r="AB257" i="39"/>
  <c r="G32" i="49" s="1"/>
  <c r="AB251" i="39"/>
  <c r="G31" i="49" s="1"/>
  <c r="AB244" i="39"/>
  <c r="G30" i="49" s="1"/>
  <c r="G29" i="49"/>
  <c r="AB221" i="39"/>
  <c r="G28" i="49" s="1"/>
  <c r="AB211" i="39"/>
  <c r="G27" i="49" s="1"/>
  <c r="AB196" i="39"/>
  <c r="G26" i="49" s="1"/>
  <c r="AB188" i="39"/>
  <c r="AB182" i="39"/>
  <c r="W293" i="39"/>
  <c r="F35" i="49" s="1"/>
  <c r="W279" i="39"/>
  <c r="F34" i="49" s="1"/>
  <c r="F33" i="49"/>
  <c r="W262" i="39"/>
  <c r="F32" i="49" s="1"/>
  <c r="W256" i="39"/>
  <c r="F31" i="49" s="1"/>
  <c r="W250" i="39"/>
  <c r="F30" i="49" s="1"/>
  <c r="W244" i="39"/>
  <c r="F29" i="49" s="1"/>
  <c r="F28" i="49"/>
  <c r="W217" i="39"/>
  <c r="F27" i="49" s="1"/>
  <c r="W196" i="39"/>
  <c r="F26" i="49" s="1"/>
  <c r="W188" i="39"/>
  <c r="W182" i="39"/>
  <c r="E35" i="49"/>
  <c r="E34" i="49"/>
  <c r="E33" i="49"/>
  <c r="R249" i="39"/>
  <c r="E32" i="49" s="1"/>
  <c r="R243" i="39"/>
  <c r="E31" i="49" s="1"/>
  <c r="R237" i="39"/>
  <c r="E30" i="49" s="1"/>
  <c r="E29" i="49"/>
  <c r="E28" i="49"/>
  <c r="E27" i="49"/>
  <c r="R195" i="39"/>
  <c r="E26" i="49" s="1"/>
  <c r="R188" i="39"/>
  <c r="R182" i="39"/>
  <c r="D35" i="49"/>
  <c r="M284" i="39"/>
  <c r="D34" i="49" s="1"/>
  <c r="D33" i="49"/>
  <c r="D32" i="49"/>
  <c r="D31" i="49"/>
  <c r="M250" i="39"/>
  <c r="D30" i="49" s="1"/>
  <c r="M225" i="39"/>
  <c r="D28" i="49" s="1"/>
  <c r="M215" i="39"/>
  <c r="D27" i="49" s="1"/>
  <c r="M196" i="39"/>
  <c r="D26" i="49" s="1"/>
  <c r="M188" i="39"/>
  <c r="M182" i="39"/>
  <c r="H277" i="39"/>
  <c r="C34" i="49" s="1"/>
  <c r="H262" i="39"/>
  <c r="C32" i="49" s="1"/>
  <c r="H249" i="39"/>
  <c r="C30" i="49" s="1"/>
  <c r="H188" i="39"/>
  <c r="H182" i="39"/>
  <c r="C295" i="39"/>
  <c r="B35" i="49" s="1"/>
  <c r="C281" i="39"/>
  <c r="B34" i="49" s="1"/>
  <c r="C275" i="39"/>
  <c r="B33" i="49" s="1"/>
  <c r="C268" i="39"/>
  <c r="B32" i="49" s="1"/>
  <c r="C262" i="39"/>
  <c r="B31" i="49" s="1"/>
  <c r="C255" i="39"/>
  <c r="B30" i="49" s="1"/>
  <c r="C249" i="39"/>
  <c r="B29" i="49" s="1"/>
  <c r="C225" i="39"/>
  <c r="B28" i="49" s="1"/>
  <c r="C215" i="39"/>
  <c r="B27" i="49" s="1"/>
  <c r="C197" i="39"/>
  <c r="B26" i="49" s="1"/>
  <c r="C188" i="39"/>
  <c r="C182" i="39"/>
  <c r="M30" i="40"/>
  <c r="P30" i="40" s="1"/>
  <c r="M29" i="40"/>
  <c r="P29" i="40" s="1"/>
  <c r="O33" i="40"/>
  <c r="N33" i="40"/>
  <c r="M31" i="40"/>
  <c r="Q31" i="40" s="1"/>
  <c r="BF98" i="39"/>
  <c r="BF121" i="39"/>
  <c r="N21" i="40"/>
  <c r="N27" i="40"/>
  <c r="M26" i="40"/>
  <c r="Q26" i="40" s="1"/>
  <c r="M25" i="40"/>
  <c r="P25" i="40" s="1"/>
  <c r="M24" i="40"/>
  <c r="P24" i="40" s="1"/>
  <c r="O27" i="40"/>
  <c r="Q23" i="40"/>
  <c r="M20" i="40"/>
  <c r="P20" i="40" s="1"/>
  <c r="P19" i="40"/>
  <c r="P17" i="40"/>
  <c r="M18" i="40"/>
  <c r="O21" i="40"/>
  <c r="C347" i="40"/>
  <c r="F347" i="40" s="1"/>
  <c r="C346" i="40"/>
  <c r="G346" i="40" s="1"/>
  <c r="C345" i="40"/>
  <c r="F345" i="40" s="1"/>
  <c r="E348" i="40"/>
  <c r="D348" i="40"/>
  <c r="B348" i="40"/>
  <c r="C344" i="40"/>
  <c r="F344" i="40" s="1"/>
  <c r="C341" i="40"/>
  <c r="G341" i="40" s="1"/>
  <c r="C340" i="40"/>
  <c r="G340" i="40" s="1"/>
  <c r="E342" i="40"/>
  <c r="D342" i="40"/>
  <c r="B342" i="40"/>
  <c r="B338" i="40"/>
  <c r="D338" i="40"/>
  <c r="E338" i="40"/>
  <c r="BA114" i="39"/>
  <c r="E43" i="6"/>
  <c r="C337" i="40"/>
  <c r="F337" i="40" s="1"/>
  <c r="C336" i="40"/>
  <c r="G336" i="40" s="1"/>
  <c r="C335" i="40"/>
  <c r="G335" i="40" s="1"/>
  <c r="B333" i="40"/>
  <c r="C332" i="40"/>
  <c r="F332" i="40" s="1"/>
  <c r="E333" i="40"/>
  <c r="D333" i="40"/>
  <c r="C331" i="40"/>
  <c r="F331" i="40" s="1"/>
  <c r="C330" i="40"/>
  <c r="F330" i="40" s="1"/>
  <c r="D322" i="40"/>
  <c r="E322" i="40"/>
  <c r="B310" i="40"/>
  <c r="B316" i="40"/>
  <c r="B322" i="40"/>
  <c r="C320" i="40"/>
  <c r="F320" i="40" s="1"/>
  <c r="C321" i="40"/>
  <c r="F321" i="40" s="1"/>
  <c r="C319" i="40"/>
  <c r="F319" i="40" s="1"/>
  <c r="C318" i="40"/>
  <c r="G318" i="40" s="1"/>
  <c r="L34" i="48"/>
  <c r="AQ103" i="39"/>
  <c r="J31" i="48"/>
  <c r="F35" i="48"/>
  <c r="F34" i="48"/>
  <c r="F33" i="48"/>
  <c r="F32" i="48"/>
  <c r="F31" i="48"/>
  <c r="D316" i="40"/>
  <c r="E316" i="40"/>
  <c r="C313" i="40"/>
  <c r="F313" i="40" s="1"/>
  <c r="D6" i="48"/>
  <c r="E310" i="40"/>
  <c r="C315" i="40"/>
  <c r="G315" i="40" s="1"/>
  <c r="C314" i="40"/>
  <c r="F314" i="40" s="1"/>
  <c r="C312" i="40"/>
  <c r="G312" i="40" s="1"/>
  <c r="D26" i="9"/>
  <c r="B303" i="39" l="1"/>
  <c r="B12" i="49" s="1"/>
  <c r="I25" i="49"/>
  <c r="B308" i="39"/>
  <c r="B17" i="49" s="1"/>
  <c r="B304" i="39"/>
  <c r="B13" i="49" s="1"/>
  <c r="K25" i="49"/>
  <c r="K36" i="49" s="1"/>
  <c r="B310" i="39"/>
  <c r="B19" i="49" s="1"/>
  <c r="B25" i="49"/>
  <c r="B36" i="49" s="1"/>
  <c r="B301" i="39"/>
  <c r="B10" i="49" s="1"/>
  <c r="F25" i="49"/>
  <c r="F36" i="49" s="1"/>
  <c r="B305" i="39"/>
  <c r="B14" i="49" s="1"/>
  <c r="L25" i="49"/>
  <c r="L36" i="49" s="1"/>
  <c r="B311" i="39"/>
  <c r="B20" i="49" s="1"/>
  <c r="D20" i="49" s="1"/>
  <c r="H25" i="49"/>
  <c r="H36" i="49" s="1"/>
  <c r="B307" i="39"/>
  <c r="B16" i="49" s="1"/>
  <c r="B309" i="39"/>
  <c r="B18" i="49" s="1"/>
  <c r="D18" i="49" s="1"/>
  <c r="C25" i="49"/>
  <c r="B302" i="39"/>
  <c r="B11" i="49" s="1"/>
  <c r="B306" i="39"/>
  <c r="B15" i="49" s="1"/>
  <c r="M25" i="49"/>
  <c r="M36" i="49" s="1"/>
  <c r="B312" i="39"/>
  <c r="B21" i="49" s="1"/>
  <c r="D36" i="7"/>
  <c r="C37" i="7"/>
  <c r="H37" i="7"/>
  <c r="I36" i="7"/>
  <c r="Q147" i="40"/>
  <c r="M167" i="40"/>
  <c r="Q167" i="40" s="1"/>
  <c r="J25" i="49"/>
  <c r="J36" i="49" s="1"/>
  <c r="Q373" i="40"/>
  <c r="C21" i="49" s="1"/>
  <c r="P373" i="40"/>
  <c r="Q313" i="40"/>
  <c r="C19" i="49" s="1"/>
  <c r="P313" i="40"/>
  <c r="C15" i="49"/>
  <c r="C17" i="49"/>
  <c r="D17" i="49" s="1"/>
  <c r="P282" i="40"/>
  <c r="Q18" i="40"/>
  <c r="M21" i="40"/>
  <c r="P21" i="40" s="1"/>
  <c r="G25" i="49"/>
  <c r="G36" i="49" s="1"/>
  <c r="P255" i="40"/>
  <c r="P225" i="40"/>
  <c r="Q225" i="40"/>
  <c r="C16" i="49" s="1"/>
  <c r="D16" i="49" s="1"/>
  <c r="P203" i="40"/>
  <c r="Q160" i="40"/>
  <c r="E25" i="49"/>
  <c r="E36" i="49" s="1"/>
  <c r="D25" i="49"/>
  <c r="P160" i="40"/>
  <c r="N138" i="40"/>
  <c r="Q154" i="40"/>
  <c r="P154" i="40"/>
  <c r="Q96" i="40"/>
  <c r="M104" i="40"/>
  <c r="M136" i="40"/>
  <c r="P147" i="40"/>
  <c r="Q132" i="40"/>
  <c r="L138" i="40"/>
  <c r="O138" i="40"/>
  <c r="P133" i="40"/>
  <c r="P129" i="40"/>
  <c r="P134" i="40"/>
  <c r="Q129" i="40"/>
  <c r="P130" i="40"/>
  <c r="P131" i="40"/>
  <c r="M127" i="40"/>
  <c r="Q125" i="40"/>
  <c r="P125" i="40"/>
  <c r="P126" i="40"/>
  <c r="Q122" i="40"/>
  <c r="P123" i="40"/>
  <c r="P124" i="40"/>
  <c r="O106" i="40"/>
  <c r="Q97" i="40"/>
  <c r="Q120" i="40"/>
  <c r="P120" i="40"/>
  <c r="P119" i="40"/>
  <c r="Q119" i="40"/>
  <c r="L106" i="40"/>
  <c r="M117" i="40"/>
  <c r="Q100" i="40"/>
  <c r="Q101" i="40"/>
  <c r="N106" i="40"/>
  <c r="P112" i="40"/>
  <c r="P100" i="40"/>
  <c r="Q114" i="40"/>
  <c r="Q93" i="40"/>
  <c r="P93" i="40"/>
  <c r="Q116" i="40"/>
  <c r="Q99" i="40"/>
  <c r="Q113" i="40"/>
  <c r="P115" i="40"/>
  <c r="Q98" i="40"/>
  <c r="Q102" i="40"/>
  <c r="P96" i="40"/>
  <c r="Q94" i="40"/>
  <c r="P94" i="40"/>
  <c r="M91" i="40"/>
  <c r="Q91" i="40" s="1"/>
  <c r="P89" i="40"/>
  <c r="P90" i="40"/>
  <c r="P87" i="40"/>
  <c r="P88" i="40"/>
  <c r="M85" i="40"/>
  <c r="Q85" i="40" s="1"/>
  <c r="Q83" i="40"/>
  <c r="Q84" i="40"/>
  <c r="P82" i="40"/>
  <c r="P81" i="40"/>
  <c r="Q78" i="40"/>
  <c r="L70" i="40"/>
  <c r="P77" i="40"/>
  <c r="M79" i="40"/>
  <c r="O70" i="40"/>
  <c r="P76" i="40"/>
  <c r="Q76" i="40"/>
  <c r="N70" i="40"/>
  <c r="M68" i="40"/>
  <c r="Q68" i="40" s="1"/>
  <c r="P66" i="40"/>
  <c r="Q66" i="40"/>
  <c r="P67" i="40"/>
  <c r="M64" i="40"/>
  <c r="P64" i="40" s="1"/>
  <c r="Q63" i="40"/>
  <c r="P62" i="40"/>
  <c r="Q62" i="40"/>
  <c r="M60" i="40"/>
  <c r="Q60" i="40" s="1"/>
  <c r="P58" i="40"/>
  <c r="P59" i="40"/>
  <c r="L46" i="40"/>
  <c r="P43" i="40"/>
  <c r="N32" i="49"/>
  <c r="N31" i="49"/>
  <c r="N29" i="49"/>
  <c r="N33" i="49"/>
  <c r="C36" i="49"/>
  <c r="I36" i="49"/>
  <c r="N34" i="49"/>
  <c r="N35" i="49"/>
  <c r="N26" i="49"/>
  <c r="N28" i="49"/>
  <c r="N30" i="49"/>
  <c r="N27" i="49"/>
  <c r="M56" i="40"/>
  <c r="Q56" i="40" s="1"/>
  <c r="P55" i="40"/>
  <c r="Q52" i="40"/>
  <c r="P53" i="40"/>
  <c r="P54" i="40"/>
  <c r="O46" i="40"/>
  <c r="N46" i="40"/>
  <c r="M44" i="40"/>
  <c r="M38" i="40"/>
  <c r="P42" i="40"/>
  <c r="P40" i="40"/>
  <c r="P41" i="40"/>
  <c r="P36" i="40"/>
  <c r="P35" i="40"/>
  <c r="P37" i="40"/>
  <c r="B350" i="40"/>
  <c r="Q32" i="40"/>
  <c r="Q30" i="40"/>
  <c r="P31" i="40"/>
  <c r="M33" i="40"/>
  <c r="Q29" i="40"/>
  <c r="J33" i="48"/>
  <c r="M27" i="40"/>
  <c r="Q27" i="40" s="1"/>
  <c r="Q24" i="40"/>
  <c r="Q25" i="40"/>
  <c r="P26" i="40"/>
  <c r="P23" i="40"/>
  <c r="Q20" i="40"/>
  <c r="Q19" i="40"/>
  <c r="P18" i="40"/>
  <c r="Q17" i="40"/>
  <c r="P16" i="40"/>
  <c r="Q16" i="40"/>
  <c r="D350" i="40"/>
  <c r="E350" i="40"/>
  <c r="F346" i="40"/>
  <c r="G347" i="40"/>
  <c r="G345" i="40"/>
  <c r="G344" i="40"/>
  <c r="C348" i="40"/>
  <c r="C338" i="40"/>
  <c r="F338" i="40" s="1"/>
  <c r="F341" i="40"/>
  <c r="C342" i="40"/>
  <c r="F340" i="40"/>
  <c r="G337" i="40"/>
  <c r="F336" i="40"/>
  <c r="F335" i="40"/>
  <c r="G332" i="40"/>
  <c r="G331" i="40"/>
  <c r="C333" i="40"/>
  <c r="G330" i="40"/>
  <c r="C322" i="40"/>
  <c r="G320" i="40"/>
  <c r="G321" i="40"/>
  <c r="G319" i="40"/>
  <c r="F318" i="40"/>
  <c r="G314" i="40"/>
  <c r="G313" i="40"/>
  <c r="F312" i="40"/>
  <c r="C316" i="40"/>
  <c r="F315" i="40"/>
  <c r="I20" i="9"/>
  <c r="BF104" i="39"/>
  <c r="BF92" i="39"/>
  <c r="BF86" i="39"/>
  <c r="BF78" i="39"/>
  <c r="BF71" i="39"/>
  <c r="BF49" i="39"/>
  <c r="BF40" i="39"/>
  <c r="BF25" i="39"/>
  <c r="BF16" i="39"/>
  <c r="BF10" i="39"/>
  <c r="H172" i="39" s="1"/>
  <c r="BA74" i="39"/>
  <c r="AV89" i="39"/>
  <c r="AV125" i="39"/>
  <c r="AV158" i="39"/>
  <c r="L35" i="48"/>
  <c r="BA93" i="39"/>
  <c r="BA87" i="39"/>
  <c r="BA80" i="39"/>
  <c r="BA67" i="39"/>
  <c r="BA59" i="39"/>
  <c r="BA49" i="39"/>
  <c r="BA36" i="39"/>
  <c r="BA23" i="39"/>
  <c r="BA16" i="39"/>
  <c r="BA10" i="39"/>
  <c r="H169" i="39" s="1"/>
  <c r="AV112" i="39"/>
  <c r="C308" i="40"/>
  <c r="G308" i="40" s="1"/>
  <c r="D310" i="40"/>
  <c r="C309" i="40"/>
  <c r="G309" i="40" s="1"/>
  <c r="C307" i="40"/>
  <c r="G307" i="40" s="1"/>
  <c r="H103" i="9"/>
  <c r="H102" i="9"/>
  <c r="H100" i="9"/>
  <c r="H99" i="9"/>
  <c r="H98" i="9"/>
  <c r="H95" i="9"/>
  <c r="H94" i="9"/>
  <c r="H82" i="9"/>
  <c r="H83" i="9"/>
  <c r="H84" i="9"/>
  <c r="H85" i="9"/>
  <c r="H86" i="9"/>
  <c r="H87" i="9"/>
  <c r="H88" i="9"/>
  <c r="H89" i="9"/>
  <c r="H90" i="9"/>
  <c r="H91" i="9"/>
  <c r="H92" i="9"/>
  <c r="H81" i="9"/>
  <c r="I69" i="9"/>
  <c r="I71" i="9"/>
  <c r="I58" i="9"/>
  <c r="I53" i="9"/>
  <c r="D71" i="9"/>
  <c r="D70" i="9"/>
  <c r="D68" i="9"/>
  <c r="D66" i="9"/>
  <c r="D65" i="9"/>
  <c r="D56" i="9"/>
  <c r="D52" i="9"/>
  <c r="D54" i="9"/>
  <c r="D46" i="9"/>
  <c r="D43" i="9"/>
  <c r="D44" i="9"/>
  <c r="D42" i="9"/>
  <c r="I7" i="9"/>
  <c r="D41" i="9"/>
  <c r="D36" i="9"/>
  <c r="D34" i="9"/>
  <c r="D33" i="9"/>
  <c r="D25" i="9"/>
  <c r="D27" i="9"/>
  <c r="D28" i="9"/>
  <c r="D29" i="9"/>
  <c r="D30" i="9"/>
  <c r="D24" i="9"/>
  <c r="D21" i="9"/>
  <c r="D15" i="9"/>
  <c r="D14" i="9"/>
  <c r="D12" i="9"/>
  <c r="D11" i="9"/>
  <c r="D13" i="9"/>
  <c r="D10" i="9"/>
  <c r="D9" i="9"/>
  <c r="D8" i="9"/>
  <c r="D19" i="49" l="1"/>
  <c r="D15" i="49"/>
  <c r="D21" i="49"/>
  <c r="H38" i="7"/>
  <c r="I37" i="7"/>
  <c r="D37" i="7"/>
  <c r="C38" i="7"/>
  <c r="L375" i="40"/>
  <c r="N375" i="40"/>
  <c r="O375" i="40"/>
  <c r="N25" i="49"/>
  <c r="P167" i="40"/>
  <c r="C14" i="49"/>
  <c r="D14" i="49" s="1"/>
  <c r="D36" i="49"/>
  <c r="M106" i="40"/>
  <c r="Q106" i="40" s="1"/>
  <c r="P104" i="40"/>
  <c r="Q104" i="40"/>
  <c r="M138" i="40"/>
  <c r="Q138" i="40" s="1"/>
  <c r="P127" i="40"/>
  <c r="Q127" i="40"/>
  <c r="P136" i="40"/>
  <c r="Q136" i="40"/>
  <c r="P117" i="40"/>
  <c r="Q117" i="40"/>
  <c r="Q79" i="40"/>
  <c r="P91" i="40"/>
  <c r="P85" i="40"/>
  <c r="P79" i="40"/>
  <c r="P68" i="40"/>
  <c r="M70" i="40"/>
  <c r="Q64" i="40"/>
  <c r="B22" i="49"/>
  <c r="P60" i="40"/>
  <c r="P56" i="40"/>
  <c r="M46" i="40"/>
  <c r="Q44" i="40"/>
  <c r="P44" i="40"/>
  <c r="Q38" i="40"/>
  <c r="P38" i="40"/>
  <c r="F172" i="39"/>
  <c r="B21" i="48" s="1"/>
  <c r="Q33" i="40"/>
  <c r="P33" i="40"/>
  <c r="L30" i="48"/>
  <c r="M25" i="48"/>
  <c r="L29" i="48"/>
  <c r="L32" i="48"/>
  <c r="L33" i="48"/>
  <c r="K32" i="48"/>
  <c r="K35" i="48"/>
  <c r="M30" i="48"/>
  <c r="K33" i="48"/>
  <c r="M31" i="48"/>
  <c r="L25" i="48"/>
  <c r="F169" i="39"/>
  <c r="B20" i="48" s="1"/>
  <c r="K29" i="48"/>
  <c r="M32" i="48"/>
  <c r="L26" i="48"/>
  <c r="L31" i="48"/>
  <c r="M33" i="48"/>
  <c r="L28" i="48"/>
  <c r="L27" i="48"/>
  <c r="M34" i="48"/>
  <c r="M26" i="48"/>
  <c r="M29" i="48"/>
  <c r="M35" i="48"/>
  <c r="M27" i="48"/>
  <c r="M28" i="48"/>
  <c r="P27" i="40"/>
  <c r="Q21" i="40"/>
  <c r="C350" i="40"/>
  <c r="F350" i="40" s="1"/>
  <c r="G348" i="40"/>
  <c r="F348" i="40"/>
  <c r="G342" i="40"/>
  <c r="F342" i="40"/>
  <c r="G338" i="40"/>
  <c r="G333" i="40"/>
  <c r="F333" i="40"/>
  <c r="G322" i="40"/>
  <c r="F322" i="40"/>
  <c r="G316" i="40"/>
  <c r="F316" i="40"/>
  <c r="D16" i="9"/>
  <c r="B38" i="49" s="1"/>
  <c r="F308" i="40"/>
  <c r="F309" i="40"/>
  <c r="C310" i="40"/>
  <c r="F307" i="40"/>
  <c r="G148" i="7"/>
  <c r="E148" i="7"/>
  <c r="G144" i="7"/>
  <c r="G143" i="7"/>
  <c r="G138" i="7"/>
  <c r="E138" i="7"/>
  <c r="G134" i="7"/>
  <c r="G132" i="7"/>
  <c r="G133" i="7"/>
  <c r="G131" i="7"/>
  <c r="G126" i="7"/>
  <c r="E126" i="7"/>
  <c r="H59" i="6"/>
  <c r="F59" i="6"/>
  <c r="E61" i="6"/>
  <c r="E59" i="6"/>
  <c r="G36" i="6"/>
  <c r="G35" i="6"/>
  <c r="G34" i="6"/>
  <c r="G32" i="6"/>
  <c r="I21" i="6"/>
  <c r="I13" i="6"/>
  <c r="I7" i="6"/>
  <c r="E305" i="40"/>
  <c r="E324" i="40" s="1"/>
  <c r="D305" i="40"/>
  <c r="D324" i="40" s="1"/>
  <c r="B305" i="40"/>
  <c r="B324" i="40" s="1"/>
  <c r="C304" i="40"/>
  <c r="C305" i="40" s="1"/>
  <c r="D38" i="7" l="1"/>
  <c r="C39" i="7"/>
  <c r="I38" i="7"/>
  <c r="H39" i="7"/>
  <c r="M375" i="40"/>
  <c r="P375" i="40" s="1"/>
  <c r="G38" i="6"/>
  <c r="C13" i="49"/>
  <c r="D13" i="49" s="1"/>
  <c r="P138" i="40"/>
  <c r="P46" i="40"/>
  <c r="P70" i="40"/>
  <c r="Q70" i="40"/>
  <c r="C11" i="49" s="1"/>
  <c r="D11" i="49" s="1"/>
  <c r="Q46" i="40"/>
  <c r="L36" i="48"/>
  <c r="M36" i="48"/>
  <c r="C324" i="40"/>
  <c r="F324" i="40" s="1"/>
  <c r="G350" i="40"/>
  <c r="G172" i="39" s="1"/>
  <c r="C21" i="48" s="1"/>
  <c r="D21" i="48" s="1"/>
  <c r="B38" i="48"/>
  <c r="B106" i="9"/>
  <c r="G310" i="40"/>
  <c r="F310" i="40"/>
  <c r="G305" i="40"/>
  <c r="F305" i="40"/>
  <c r="G304" i="40"/>
  <c r="F304" i="40"/>
  <c r="E296" i="40"/>
  <c r="D296" i="40"/>
  <c r="B296" i="40"/>
  <c r="C295" i="40"/>
  <c r="C296" i="40" s="1"/>
  <c r="C292" i="40"/>
  <c r="G292" i="40" s="1"/>
  <c r="C291" i="40"/>
  <c r="F291" i="40" s="1"/>
  <c r="E293" i="40"/>
  <c r="D293" i="40"/>
  <c r="B293" i="40"/>
  <c r="C288" i="40"/>
  <c r="G288" i="40" s="1"/>
  <c r="C287" i="40"/>
  <c r="F287" i="40" s="1"/>
  <c r="C286" i="40"/>
  <c r="G286" i="40" s="1"/>
  <c r="E289" i="40"/>
  <c r="D289" i="40"/>
  <c r="B289" i="40"/>
  <c r="C282" i="40"/>
  <c r="F282" i="40" s="1"/>
  <c r="C283" i="40"/>
  <c r="G283" i="40" s="1"/>
  <c r="E284" i="40"/>
  <c r="D284" i="40"/>
  <c r="B284" i="40"/>
  <c r="C279" i="40"/>
  <c r="G279" i="40" s="1"/>
  <c r="E280" i="40"/>
  <c r="D280" i="40"/>
  <c r="B280" i="40"/>
  <c r="C267" i="40"/>
  <c r="G267" i="40" s="1"/>
  <c r="C270" i="40"/>
  <c r="G270" i="40" s="1"/>
  <c r="C264" i="40"/>
  <c r="G264" i="40" s="1"/>
  <c r="C263" i="40"/>
  <c r="F263" i="40" s="1"/>
  <c r="C262" i="40"/>
  <c r="F262" i="40" s="1"/>
  <c r="E265" i="40"/>
  <c r="D265" i="40"/>
  <c r="B265" i="40"/>
  <c r="E271" i="40"/>
  <c r="D271" i="40"/>
  <c r="B271" i="40"/>
  <c r="E268" i="40"/>
  <c r="D268" i="40"/>
  <c r="B268" i="40"/>
  <c r="H261" i="40"/>
  <c r="C259" i="40"/>
  <c r="C258" i="40"/>
  <c r="F258" i="40" s="1"/>
  <c r="E260" i="40"/>
  <c r="D260" i="40"/>
  <c r="B260" i="40"/>
  <c r="C249" i="40"/>
  <c r="F249" i="40" s="1"/>
  <c r="C248" i="40"/>
  <c r="E250" i="40"/>
  <c r="D250" i="40"/>
  <c r="B250" i="40"/>
  <c r="C245" i="40"/>
  <c r="F245" i="40" s="1"/>
  <c r="C242" i="40"/>
  <c r="F242" i="40" s="1"/>
  <c r="C239" i="40"/>
  <c r="F239" i="40" s="1"/>
  <c r="E246" i="40"/>
  <c r="D246" i="40"/>
  <c r="B246" i="40"/>
  <c r="E243" i="40"/>
  <c r="D243" i="40"/>
  <c r="B243" i="40"/>
  <c r="E240" i="40"/>
  <c r="D240" i="40"/>
  <c r="B240" i="40"/>
  <c r="C230" i="40"/>
  <c r="F230" i="40" s="1"/>
  <c r="C227" i="40"/>
  <c r="G227" i="40" s="1"/>
  <c r="C224" i="40"/>
  <c r="C225" i="40" s="1"/>
  <c r="C221" i="40"/>
  <c r="G221" i="40" s="1"/>
  <c r="E231" i="40"/>
  <c r="D231" i="40"/>
  <c r="B231" i="40"/>
  <c r="E228" i="40"/>
  <c r="D228" i="40"/>
  <c r="B228" i="40"/>
  <c r="E225" i="40"/>
  <c r="D225" i="40"/>
  <c r="B225" i="40"/>
  <c r="E222" i="40"/>
  <c r="D222" i="40"/>
  <c r="B222" i="40"/>
  <c r="E219" i="40"/>
  <c r="C217" i="40"/>
  <c r="G217" i="40" s="1"/>
  <c r="C216" i="40"/>
  <c r="G216" i="40" s="1"/>
  <c r="C218" i="40"/>
  <c r="F218" i="40" s="1"/>
  <c r="D219" i="40"/>
  <c r="B219" i="40"/>
  <c r="C205" i="40"/>
  <c r="F205" i="40" s="1"/>
  <c r="C207" i="40"/>
  <c r="G207" i="40" s="1"/>
  <c r="C206" i="40"/>
  <c r="F206" i="40" s="1"/>
  <c r="C204" i="40"/>
  <c r="G204" i="40" s="1"/>
  <c r="E208" i="40"/>
  <c r="D208" i="40"/>
  <c r="B208" i="40"/>
  <c r="D198" i="40"/>
  <c r="E198" i="40"/>
  <c r="B198" i="40"/>
  <c r="C197" i="40"/>
  <c r="F197" i="40" s="1"/>
  <c r="C196" i="40"/>
  <c r="F196" i="40" s="1"/>
  <c r="C195" i="40"/>
  <c r="C200" i="40"/>
  <c r="G200" i="40" s="1"/>
  <c r="C201" i="40"/>
  <c r="F201" i="40" s="1"/>
  <c r="E202" i="40"/>
  <c r="D202" i="40"/>
  <c r="B202" i="40"/>
  <c r="C192" i="40"/>
  <c r="F192" i="40" s="1"/>
  <c r="C191" i="40"/>
  <c r="G191" i="40" s="1"/>
  <c r="E193" i="40"/>
  <c r="D193" i="40"/>
  <c r="B193" i="40"/>
  <c r="C182" i="40"/>
  <c r="F182" i="40" s="1"/>
  <c r="C181" i="40"/>
  <c r="G181" i="40" s="1"/>
  <c r="C177" i="40"/>
  <c r="C178" i="40"/>
  <c r="F178" i="40" s="1"/>
  <c r="C174" i="40"/>
  <c r="G174" i="40" s="1"/>
  <c r="E183" i="40"/>
  <c r="D183" i="40"/>
  <c r="B183" i="40"/>
  <c r="D179" i="40"/>
  <c r="E179" i="40"/>
  <c r="B179" i="40"/>
  <c r="D175" i="40"/>
  <c r="E175" i="40"/>
  <c r="B175" i="40"/>
  <c r="C171" i="40"/>
  <c r="F171" i="40" s="1"/>
  <c r="C170" i="40"/>
  <c r="F170" i="40" s="1"/>
  <c r="C169" i="40"/>
  <c r="G169" i="40" s="1"/>
  <c r="E172" i="40"/>
  <c r="D172" i="40"/>
  <c r="B172" i="40"/>
  <c r="C160" i="40"/>
  <c r="G160" i="40" s="1"/>
  <c r="C159" i="40"/>
  <c r="F159" i="40" s="1"/>
  <c r="C158" i="40"/>
  <c r="E161" i="40"/>
  <c r="D161" i="40"/>
  <c r="B161" i="40"/>
  <c r="C154" i="40"/>
  <c r="F154" i="40" s="1"/>
  <c r="C153" i="40"/>
  <c r="F153" i="40" s="1"/>
  <c r="C155" i="40"/>
  <c r="F155" i="40" s="1"/>
  <c r="C152" i="40"/>
  <c r="G152" i="40" s="1"/>
  <c r="E156" i="40"/>
  <c r="D156" i="40"/>
  <c r="B156" i="40"/>
  <c r="C149" i="40"/>
  <c r="F149" i="40" s="1"/>
  <c r="C148" i="40"/>
  <c r="F148" i="40" s="1"/>
  <c r="C147" i="40"/>
  <c r="F147" i="40" s="1"/>
  <c r="C146" i="40"/>
  <c r="F146" i="40" s="1"/>
  <c r="D150" i="40"/>
  <c r="E150" i="40"/>
  <c r="B150" i="40"/>
  <c r="C141" i="40"/>
  <c r="G141" i="40" s="1"/>
  <c r="C140" i="40"/>
  <c r="F140" i="40" s="1"/>
  <c r="C134" i="40"/>
  <c r="F134" i="40" s="1"/>
  <c r="C143" i="40"/>
  <c r="G143" i="40" s="1"/>
  <c r="C142" i="40"/>
  <c r="F142" i="40" s="1"/>
  <c r="C139" i="40"/>
  <c r="F139" i="40" s="1"/>
  <c r="E144" i="40"/>
  <c r="D144" i="40"/>
  <c r="B144" i="40"/>
  <c r="C136" i="40"/>
  <c r="G136" i="40" s="1"/>
  <c r="C135" i="40"/>
  <c r="F135" i="40" s="1"/>
  <c r="C133" i="40"/>
  <c r="F133" i="40" s="1"/>
  <c r="C132" i="40"/>
  <c r="G132" i="40" s="1"/>
  <c r="E137" i="40"/>
  <c r="D137" i="40"/>
  <c r="B137" i="40"/>
  <c r="E124" i="40"/>
  <c r="D124" i="40"/>
  <c r="B124" i="40"/>
  <c r="C123" i="40"/>
  <c r="F123" i="40" s="1"/>
  <c r="C122" i="40"/>
  <c r="G122" i="40" s="1"/>
  <c r="C121" i="40"/>
  <c r="F121" i="40" s="1"/>
  <c r="C120" i="40"/>
  <c r="F120" i="40" s="1"/>
  <c r="C119" i="40"/>
  <c r="E117" i="40"/>
  <c r="D117" i="40"/>
  <c r="B117" i="40"/>
  <c r="C116" i="40"/>
  <c r="G116" i="40" s="1"/>
  <c r="C115" i="40"/>
  <c r="F115" i="40" s="1"/>
  <c r="C114" i="40"/>
  <c r="F114" i="40" s="1"/>
  <c r="C113" i="40"/>
  <c r="F113" i="40" s="1"/>
  <c r="C112" i="40"/>
  <c r="B110" i="40"/>
  <c r="C106" i="40"/>
  <c r="G106" i="40" s="1"/>
  <c r="C107" i="40"/>
  <c r="F107" i="40" s="1"/>
  <c r="C108" i="40"/>
  <c r="F108" i="40" s="1"/>
  <c r="C105" i="40"/>
  <c r="G105" i="40" s="1"/>
  <c r="C109" i="40"/>
  <c r="G109" i="40" s="1"/>
  <c r="C104" i="40"/>
  <c r="F104" i="40" s="1"/>
  <c r="E110" i="40"/>
  <c r="D110" i="40"/>
  <c r="C100" i="40"/>
  <c r="G100" i="40" s="1"/>
  <c r="C99" i="40"/>
  <c r="F99" i="40" s="1"/>
  <c r="C101" i="40"/>
  <c r="F101" i="40" s="1"/>
  <c r="C98" i="40"/>
  <c r="G98" i="40" s="1"/>
  <c r="C97" i="40"/>
  <c r="B102" i="40"/>
  <c r="E102" i="40"/>
  <c r="D102" i="40"/>
  <c r="C92" i="40"/>
  <c r="C81" i="40"/>
  <c r="F81" i="40" s="1"/>
  <c r="C80" i="40"/>
  <c r="G80" i="40" s="1"/>
  <c r="C78" i="40"/>
  <c r="F78" i="40" s="1"/>
  <c r="C79" i="40"/>
  <c r="F79" i="40" s="1"/>
  <c r="C77" i="40"/>
  <c r="G77" i="40" s="1"/>
  <c r="E82" i="40"/>
  <c r="D82" i="40"/>
  <c r="B82" i="40"/>
  <c r="C74" i="40"/>
  <c r="G74" i="40" s="1"/>
  <c r="C73" i="40"/>
  <c r="F73" i="40" s="1"/>
  <c r="C72" i="40"/>
  <c r="G72" i="40" s="1"/>
  <c r="C71" i="40"/>
  <c r="F71" i="40" s="1"/>
  <c r="E75" i="40"/>
  <c r="D75" i="40"/>
  <c r="B75" i="40"/>
  <c r="B69" i="40"/>
  <c r="D69" i="40"/>
  <c r="E69" i="40"/>
  <c r="C64" i="40"/>
  <c r="G64" i="40" s="1"/>
  <c r="C68" i="40"/>
  <c r="F68" i="40" s="1"/>
  <c r="C66" i="40"/>
  <c r="G66" i="40" s="1"/>
  <c r="C67" i="40"/>
  <c r="F67" i="40" s="1"/>
  <c r="C65" i="40"/>
  <c r="F65" i="40" s="1"/>
  <c r="C60" i="40"/>
  <c r="F60" i="40" s="1"/>
  <c r="C61" i="40"/>
  <c r="F61" i="40" s="1"/>
  <c r="C59" i="40"/>
  <c r="F59" i="40" s="1"/>
  <c r="C57" i="40"/>
  <c r="F57" i="40" s="1"/>
  <c r="C58" i="40"/>
  <c r="F58" i="40" s="1"/>
  <c r="C56" i="40"/>
  <c r="F56" i="40" s="1"/>
  <c r="B62" i="40"/>
  <c r="D62" i="40"/>
  <c r="E62" i="40"/>
  <c r="C51" i="40"/>
  <c r="G51" i="40" s="1"/>
  <c r="C52" i="40"/>
  <c r="F52" i="40" s="1"/>
  <c r="C53" i="40"/>
  <c r="F53" i="40" s="1"/>
  <c r="C50" i="40"/>
  <c r="G50" i="40" s="1"/>
  <c r="E54" i="40"/>
  <c r="D54" i="40"/>
  <c r="B54" i="40"/>
  <c r="C45" i="40"/>
  <c r="C10" i="40"/>
  <c r="D36" i="40"/>
  <c r="E36" i="40"/>
  <c r="B36" i="40"/>
  <c r="C34" i="40"/>
  <c r="F34" i="40" s="1"/>
  <c r="C35" i="40"/>
  <c r="F35" i="40" s="1"/>
  <c r="C33" i="40"/>
  <c r="F33" i="40" s="1"/>
  <c r="C24" i="40"/>
  <c r="F24" i="40" s="1"/>
  <c r="C21" i="40"/>
  <c r="G21" i="40" s="1"/>
  <c r="C30" i="40"/>
  <c r="F30" i="40" s="1"/>
  <c r="C29" i="40"/>
  <c r="F29" i="40" s="1"/>
  <c r="C28" i="40"/>
  <c r="F28" i="40" s="1"/>
  <c r="C27" i="40"/>
  <c r="F27" i="40" s="1"/>
  <c r="E31" i="40"/>
  <c r="D31" i="40"/>
  <c r="B31" i="40"/>
  <c r="E25" i="40"/>
  <c r="D25" i="40"/>
  <c r="B25" i="40"/>
  <c r="D19" i="40"/>
  <c r="E19" i="40"/>
  <c r="C23" i="40"/>
  <c r="G23" i="40" s="1"/>
  <c r="C22" i="40"/>
  <c r="F22" i="40" s="1"/>
  <c r="B19" i="40"/>
  <c r="C18" i="40"/>
  <c r="F18" i="40" s="1"/>
  <c r="C17" i="40"/>
  <c r="G17" i="40" s="1"/>
  <c r="C16" i="40"/>
  <c r="F16" i="40" s="1"/>
  <c r="H157" i="39"/>
  <c r="AB86" i="39"/>
  <c r="C95" i="39"/>
  <c r="C62" i="39"/>
  <c r="C35" i="39"/>
  <c r="C26" i="39"/>
  <c r="C20" i="39"/>
  <c r="C157" i="39" s="1"/>
  <c r="M26" i="39"/>
  <c r="AV131" i="39"/>
  <c r="AV107" i="39"/>
  <c r="AV96" i="39"/>
  <c r="AV58" i="39"/>
  <c r="AV44" i="39"/>
  <c r="AV27" i="39"/>
  <c r="AV16" i="39"/>
  <c r="AV10" i="39"/>
  <c r="H166" i="39" s="1"/>
  <c r="AQ51" i="39"/>
  <c r="AQ80" i="39"/>
  <c r="AQ70" i="39"/>
  <c r="AQ40" i="39"/>
  <c r="AQ26" i="39"/>
  <c r="AQ109" i="39"/>
  <c r="AQ132" i="39"/>
  <c r="AQ94" i="39"/>
  <c r="AQ89" i="39"/>
  <c r="AL110" i="39"/>
  <c r="AL129" i="39"/>
  <c r="AL104" i="39"/>
  <c r="AL92" i="39"/>
  <c r="AL86" i="39"/>
  <c r="AL80" i="39"/>
  <c r="AL70" i="39"/>
  <c r="AL50" i="39"/>
  <c r="AL39" i="39"/>
  <c r="AG128" i="39"/>
  <c r="AB108" i="39"/>
  <c r="AG145" i="39"/>
  <c r="AG122" i="39"/>
  <c r="AG113" i="39"/>
  <c r="AG94" i="39"/>
  <c r="AG88" i="39"/>
  <c r="AG80" i="39"/>
  <c r="AG73" i="39"/>
  <c r="AG49" i="39"/>
  <c r="AG42" i="39"/>
  <c r="AG26" i="39"/>
  <c r="AL25" i="39"/>
  <c r="AQ16" i="39"/>
  <c r="AL16" i="39"/>
  <c r="AG16" i="39"/>
  <c r="AQ10" i="39"/>
  <c r="H163" i="39" s="1"/>
  <c r="AL10" i="39"/>
  <c r="H160" i="39" s="1"/>
  <c r="AG10" i="39"/>
  <c r="AB124" i="39"/>
  <c r="AB102" i="39"/>
  <c r="AB92" i="39"/>
  <c r="AB81" i="39"/>
  <c r="AB71" i="39"/>
  <c r="AB53" i="39"/>
  <c r="AB46" i="39"/>
  <c r="W105" i="39"/>
  <c r="W93" i="39"/>
  <c r="W59" i="39"/>
  <c r="W51" i="39"/>
  <c r="R125" i="39"/>
  <c r="R141" i="39"/>
  <c r="R119" i="39"/>
  <c r="R109" i="39"/>
  <c r="R103" i="39"/>
  <c r="M107" i="39"/>
  <c r="M123" i="39"/>
  <c r="M101" i="39"/>
  <c r="M91" i="39"/>
  <c r="M85" i="39"/>
  <c r="R97" i="39"/>
  <c r="M79" i="39"/>
  <c r="R82" i="39"/>
  <c r="M68" i="39"/>
  <c r="R58" i="39"/>
  <c r="M51" i="39"/>
  <c r="R47" i="39"/>
  <c r="M41" i="39"/>
  <c r="H131" i="39"/>
  <c r="H146" i="39"/>
  <c r="H115" i="39"/>
  <c r="H109" i="39"/>
  <c r="H99" i="39"/>
  <c r="H85" i="39"/>
  <c r="H63" i="39"/>
  <c r="H56" i="39"/>
  <c r="C152" i="39"/>
  <c r="C138" i="39"/>
  <c r="C132" i="39"/>
  <c r="C123" i="39"/>
  <c r="C117" i="39"/>
  <c r="C111" i="39"/>
  <c r="C71" i="39"/>
  <c r="AB16" i="39"/>
  <c r="AB25" i="39"/>
  <c r="AB10" i="39"/>
  <c r="C172" i="39" s="1"/>
  <c r="W23" i="39"/>
  <c r="F26" i="48" s="1"/>
  <c r="R25" i="39"/>
  <c r="H25" i="39"/>
  <c r="W16" i="39"/>
  <c r="R16" i="39"/>
  <c r="M16" i="39"/>
  <c r="H16" i="39"/>
  <c r="W10" i="39"/>
  <c r="C169" i="39" s="1"/>
  <c r="R10" i="39"/>
  <c r="C166" i="39" s="1"/>
  <c r="M10" i="39"/>
  <c r="C163" i="39" s="1"/>
  <c r="H10" i="39"/>
  <c r="C160" i="39" s="1"/>
  <c r="I54" i="9"/>
  <c r="I100" i="9"/>
  <c r="I102" i="9"/>
  <c r="I103" i="9"/>
  <c r="I99" i="9"/>
  <c r="I82" i="9"/>
  <c r="I83" i="9"/>
  <c r="I84" i="9"/>
  <c r="I86" i="9"/>
  <c r="I87" i="9"/>
  <c r="I88" i="9"/>
  <c r="I89" i="9"/>
  <c r="I90" i="9"/>
  <c r="I91" i="9"/>
  <c r="I92" i="9"/>
  <c r="I94" i="9"/>
  <c r="I95" i="9"/>
  <c r="I98" i="9"/>
  <c r="D72" i="9"/>
  <c r="D58" i="9"/>
  <c r="D35" i="9"/>
  <c r="F104" i="9"/>
  <c r="E104" i="9"/>
  <c r="I101" i="9"/>
  <c r="I75" i="9"/>
  <c r="I74" i="9"/>
  <c r="I72" i="9"/>
  <c r="I70" i="9"/>
  <c r="I68" i="9"/>
  <c r="I67" i="9"/>
  <c r="I66" i="9"/>
  <c r="I65" i="9"/>
  <c r="I46" i="9"/>
  <c r="I45" i="9"/>
  <c r="I44" i="9"/>
  <c r="I34" i="9"/>
  <c r="I33" i="9"/>
  <c r="I32" i="9"/>
  <c r="I31" i="9"/>
  <c r="I30" i="9"/>
  <c r="I29" i="9"/>
  <c r="I28" i="9"/>
  <c r="I23" i="9"/>
  <c r="I21" i="9"/>
  <c r="I13" i="9"/>
  <c r="I12" i="9"/>
  <c r="I6" i="9"/>
  <c r="I8" i="9" s="1"/>
  <c r="R141" i="7"/>
  <c r="I22" i="6"/>
  <c r="I9" i="6"/>
  <c r="G91" i="7"/>
  <c r="I59" i="6"/>
  <c r="E108" i="7"/>
  <c r="E107" i="7"/>
  <c r="G108" i="7"/>
  <c r="G107" i="7"/>
  <c r="G101" i="7"/>
  <c r="G100" i="7"/>
  <c r="G99" i="7"/>
  <c r="G98" i="7"/>
  <c r="G97" i="7"/>
  <c r="G92" i="7"/>
  <c r="G102" i="7"/>
  <c r="G96" i="7"/>
  <c r="D53" i="6"/>
  <c r="E53" i="6" s="1"/>
  <c r="I53" i="6" s="1"/>
  <c r="D52" i="6"/>
  <c r="H52" i="6" s="1"/>
  <c r="E44" i="6"/>
  <c r="F44" i="6" s="1"/>
  <c r="E45" i="6"/>
  <c r="E46" i="6"/>
  <c r="F46" i="6" s="1"/>
  <c r="F43" i="6"/>
  <c r="C47" i="6"/>
  <c r="D47" i="6"/>
  <c r="E32" i="6"/>
  <c r="E34" i="6"/>
  <c r="E35" i="6"/>
  <c r="E36" i="6"/>
  <c r="E31" i="6"/>
  <c r="I31" i="6" s="1"/>
  <c r="D32" i="6"/>
  <c r="H32" i="6" s="1"/>
  <c r="D34" i="6"/>
  <c r="H34" i="6" s="1"/>
  <c r="D35" i="6"/>
  <c r="H35" i="6" s="1"/>
  <c r="D36" i="6"/>
  <c r="H36" i="6" s="1"/>
  <c r="D31" i="6"/>
  <c r="H31" i="6" s="1"/>
  <c r="F26" i="6"/>
  <c r="G26" i="6" s="1"/>
  <c r="G27" i="6" s="1" a="1"/>
  <c r="G27" i="6" s="1"/>
  <c r="E26" i="6"/>
  <c r="E27" i="6" s="1" a="1"/>
  <c r="E27" i="6" s="1"/>
  <c r="G21" i="6"/>
  <c r="K21" i="6" s="1"/>
  <c r="G20" i="6"/>
  <c r="H20" i="6" s="1"/>
  <c r="F21" i="6"/>
  <c r="J21" i="6" s="1"/>
  <c r="F20" i="6"/>
  <c r="G13" i="6"/>
  <c r="K13" i="6" s="1"/>
  <c r="F13" i="6"/>
  <c r="J13" i="6" s="1"/>
  <c r="G7" i="6"/>
  <c r="K7" i="6" s="1"/>
  <c r="F7" i="6"/>
  <c r="J7" i="6" s="1"/>
  <c r="F27" i="6" a="1"/>
  <c r="F27" i="6" s="1"/>
  <c r="D27" i="6" a="1"/>
  <c r="D27" i="6" s="1"/>
  <c r="H40" i="7" l="1"/>
  <c r="I39" i="7"/>
  <c r="D39" i="7"/>
  <c r="C40" i="7"/>
  <c r="B65" i="7"/>
  <c r="Q375" i="40"/>
  <c r="I24" i="9"/>
  <c r="B45" i="49" s="1"/>
  <c r="I14" i="9"/>
  <c r="I47" i="9"/>
  <c r="I35" i="9"/>
  <c r="B112" i="9"/>
  <c r="B44" i="49"/>
  <c r="B44" i="48"/>
  <c r="C10" i="49"/>
  <c r="D10" i="49" s="1"/>
  <c r="I35" i="48"/>
  <c r="I25" i="48"/>
  <c r="H35" i="48"/>
  <c r="K27" i="48"/>
  <c r="G31" i="48"/>
  <c r="H32" i="48"/>
  <c r="G26" i="48"/>
  <c r="F27" i="48"/>
  <c r="J25" i="48"/>
  <c r="G34" i="48"/>
  <c r="J32" i="48"/>
  <c r="K28" i="48"/>
  <c r="K26" i="48"/>
  <c r="G25" i="48"/>
  <c r="F28" i="48"/>
  <c r="I26" i="48"/>
  <c r="H34" i="48"/>
  <c r="J35" i="48"/>
  <c r="K30" i="48"/>
  <c r="F29" i="48"/>
  <c r="H26" i="48"/>
  <c r="I27" i="48"/>
  <c r="J34" i="48"/>
  <c r="K31" i="48"/>
  <c r="G35" i="48"/>
  <c r="F30" i="48"/>
  <c r="H27" i="48"/>
  <c r="I28" i="48"/>
  <c r="J26" i="48"/>
  <c r="K34" i="48"/>
  <c r="G27" i="48"/>
  <c r="H28" i="48"/>
  <c r="I29" i="48"/>
  <c r="J27" i="48"/>
  <c r="K25" i="48"/>
  <c r="F25" i="48"/>
  <c r="G28" i="48"/>
  <c r="H29" i="48"/>
  <c r="I30" i="48"/>
  <c r="J29" i="48"/>
  <c r="G33" i="48"/>
  <c r="H33" i="48"/>
  <c r="G29" i="48"/>
  <c r="H30" i="48"/>
  <c r="I31" i="48"/>
  <c r="J30" i="48"/>
  <c r="H25" i="48"/>
  <c r="G30" i="48"/>
  <c r="H31" i="48"/>
  <c r="I32" i="48"/>
  <c r="J28" i="48"/>
  <c r="I34" i="48"/>
  <c r="G32" i="48"/>
  <c r="I33" i="48"/>
  <c r="C280" i="40"/>
  <c r="F280" i="40" s="1"/>
  <c r="G324" i="40"/>
  <c r="C30" i="48"/>
  <c r="C31" i="48"/>
  <c r="E30" i="48"/>
  <c r="C25" i="48"/>
  <c r="B28" i="48"/>
  <c r="C32" i="48"/>
  <c r="D31" i="48"/>
  <c r="E35" i="48"/>
  <c r="D25" i="48"/>
  <c r="B30" i="48"/>
  <c r="C33" i="48"/>
  <c r="D32" i="48"/>
  <c r="E34" i="48"/>
  <c r="E25" i="48"/>
  <c r="B31" i="48"/>
  <c r="C35" i="48"/>
  <c r="D33" i="48"/>
  <c r="D26" i="48"/>
  <c r="D29" i="48"/>
  <c r="D30" i="48"/>
  <c r="B32" i="48"/>
  <c r="C34" i="48"/>
  <c r="D35" i="48"/>
  <c r="E29" i="48"/>
  <c r="C26" i="48"/>
  <c r="B33" i="48"/>
  <c r="D27" i="48"/>
  <c r="D34" i="48"/>
  <c r="B29" i="48"/>
  <c r="E26" i="48"/>
  <c r="B34" i="48"/>
  <c r="E27" i="48"/>
  <c r="E31" i="48"/>
  <c r="B25" i="48"/>
  <c r="B35" i="48"/>
  <c r="D28" i="48"/>
  <c r="E32" i="48"/>
  <c r="B26" i="48"/>
  <c r="C28" i="48"/>
  <c r="C29" i="48"/>
  <c r="C27" i="48"/>
  <c r="E28" i="48"/>
  <c r="E33" i="48"/>
  <c r="B27" i="48"/>
  <c r="B298" i="40"/>
  <c r="E298" i="40"/>
  <c r="D298" i="40"/>
  <c r="F166" i="39"/>
  <c r="B19" i="48" s="1"/>
  <c r="F36" i="6"/>
  <c r="J36" i="6" s="1"/>
  <c r="I36" i="6"/>
  <c r="F32" i="6"/>
  <c r="J32" i="6" s="1"/>
  <c r="I32" i="6"/>
  <c r="H53" i="6"/>
  <c r="F35" i="6"/>
  <c r="J35" i="6" s="1"/>
  <c r="I35" i="6"/>
  <c r="F34" i="6"/>
  <c r="J34" i="6" s="1"/>
  <c r="I34" i="6"/>
  <c r="D47" i="9"/>
  <c r="B40" i="49" s="1"/>
  <c r="G295" i="40"/>
  <c r="F295" i="40"/>
  <c r="G296" i="40"/>
  <c r="F296" i="40"/>
  <c r="G178" i="40"/>
  <c r="F66" i="40"/>
  <c r="G291" i="40"/>
  <c r="F292" i="40"/>
  <c r="C293" i="40"/>
  <c r="G35" i="40"/>
  <c r="F288" i="40"/>
  <c r="B85" i="40"/>
  <c r="C271" i="40"/>
  <c r="F271" i="40" s="1"/>
  <c r="F143" i="40"/>
  <c r="D38" i="40"/>
  <c r="F279" i="40"/>
  <c r="F283" i="40"/>
  <c r="F72" i="40"/>
  <c r="C102" i="40"/>
  <c r="F102" i="40" s="1"/>
  <c r="C284" i="40"/>
  <c r="G284" i="40" s="1"/>
  <c r="G245" i="40"/>
  <c r="G287" i="40"/>
  <c r="G146" i="40"/>
  <c r="G121" i="40"/>
  <c r="G282" i="40"/>
  <c r="F286" i="40"/>
  <c r="G61" i="40"/>
  <c r="G60" i="40"/>
  <c r="C246" i="40"/>
  <c r="G246" i="40" s="1"/>
  <c r="D252" i="40"/>
  <c r="E252" i="40"/>
  <c r="B126" i="40"/>
  <c r="G123" i="40"/>
  <c r="C289" i="40"/>
  <c r="G289" i="40" s="1"/>
  <c r="G27" i="40"/>
  <c r="D85" i="40"/>
  <c r="G58" i="40"/>
  <c r="F141" i="40"/>
  <c r="E85" i="40"/>
  <c r="C161" i="40"/>
  <c r="G161" i="40" s="1"/>
  <c r="C198" i="40"/>
  <c r="G198" i="40" s="1"/>
  <c r="D273" i="40"/>
  <c r="F160" i="40"/>
  <c r="G197" i="40"/>
  <c r="F207" i="40"/>
  <c r="C260" i="40"/>
  <c r="G260" i="40" s="1"/>
  <c r="G201" i="40"/>
  <c r="B233" i="40"/>
  <c r="B252" i="40"/>
  <c r="F227" i="40"/>
  <c r="C75" i="40"/>
  <c r="G75" i="40" s="1"/>
  <c r="F109" i="40"/>
  <c r="F116" i="40"/>
  <c r="D233" i="40"/>
  <c r="C228" i="40"/>
  <c r="G228" i="40" s="1"/>
  <c r="G258" i="40"/>
  <c r="C19" i="40"/>
  <c r="G19" i="40" s="1"/>
  <c r="G68" i="40"/>
  <c r="G107" i="40"/>
  <c r="D163" i="40"/>
  <c r="G139" i="40"/>
  <c r="E185" i="40"/>
  <c r="G182" i="40"/>
  <c r="G259" i="40"/>
  <c r="E38" i="40"/>
  <c r="F17" i="40"/>
  <c r="F98" i="40"/>
  <c r="G148" i="40"/>
  <c r="C110" i="40"/>
  <c r="G110" i="40" s="1"/>
  <c r="G142" i="40"/>
  <c r="G154" i="40"/>
  <c r="C117" i="40"/>
  <c r="G117" i="40" s="1"/>
  <c r="E233" i="40"/>
  <c r="C250" i="40"/>
  <c r="F250" i="40" s="1"/>
  <c r="C193" i="40"/>
  <c r="F193" i="40" s="1"/>
  <c r="F106" i="40"/>
  <c r="G115" i="40"/>
  <c r="G134" i="40"/>
  <c r="C240" i="40"/>
  <c r="G240" i="40" s="1"/>
  <c r="G249" i="40"/>
  <c r="D126" i="40"/>
  <c r="F136" i="40"/>
  <c r="G34" i="40"/>
  <c r="F105" i="40"/>
  <c r="G147" i="40"/>
  <c r="F152" i="40"/>
  <c r="G158" i="40"/>
  <c r="G171" i="40"/>
  <c r="F191" i="40"/>
  <c r="F195" i="40"/>
  <c r="G239" i="40"/>
  <c r="F23" i="40"/>
  <c r="E126" i="40"/>
  <c r="C124" i="40"/>
  <c r="G124" i="40" s="1"/>
  <c r="G133" i="40"/>
  <c r="G155" i="40"/>
  <c r="G170" i="40"/>
  <c r="G192" i="40"/>
  <c r="G195" i="40"/>
  <c r="G242" i="40"/>
  <c r="B273" i="40"/>
  <c r="G262" i="40"/>
  <c r="F50" i="40"/>
  <c r="B38" i="40"/>
  <c r="G30" i="40"/>
  <c r="G71" i="40"/>
  <c r="B163" i="40"/>
  <c r="G159" i="40"/>
  <c r="F181" i="40"/>
  <c r="C243" i="40"/>
  <c r="G243" i="40" s="1"/>
  <c r="F248" i="40"/>
  <c r="E273" i="40"/>
  <c r="F264" i="40"/>
  <c r="F74" i="40"/>
  <c r="E163" i="40"/>
  <c r="G153" i="40"/>
  <c r="G248" i="40"/>
  <c r="G263" i="40"/>
  <c r="G29" i="40"/>
  <c r="F64" i="40"/>
  <c r="G73" i="40"/>
  <c r="F77" i="40"/>
  <c r="B185" i="40"/>
  <c r="B210" i="40"/>
  <c r="F204" i="40"/>
  <c r="C36" i="40"/>
  <c r="F36" i="40" s="1"/>
  <c r="G67" i="40"/>
  <c r="G104" i="40"/>
  <c r="F119" i="40"/>
  <c r="C172" i="40"/>
  <c r="G172" i="40" s="1"/>
  <c r="D210" i="40"/>
  <c r="C265" i="40"/>
  <c r="G265" i="40" s="1"/>
  <c r="F270" i="40"/>
  <c r="G78" i="40"/>
  <c r="G119" i="40"/>
  <c r="D185" i="40"/>
  <c r="E210" i="40"/>
  <c r="F224" i="40"/>
  <c r="F225" i="40"/>
  <c r="G225" i="40"/>
  <c r="G24" i="40"/>
  <c r="F51" i="40"/>
  <c r="G57" i="40"/>
  <c r="F100" i="40"/>
  <c r="G120" i="40"/>
  <c r="F217" i="40"/>
  <c r="G16" i="40"/>
  <c r="C54" i="40"/>
  <c r="F54" i="40" s="1"/>
  <c r="C62" i="40"/>
  <c r="G62" i="40" s="1"/>
  <c r="G99" i="40"/>
  <c r="F112" i="40"/>
  <c r="G135" i="40"/>
  <c r="G224" i="40"/>
  <c r="G18" i="40"/>
  <c r="G22" i="40"/>
  <c r="G81" i="40"/>
  <c r="G112" i="40"/>
  <c r="C219" i="40"/>
  <c r="F219" i="40" s="1"/>
  <c r="C31" i="40"/>
  <c r="G31" i="40" s="1"/>
  <c r="G33" i="40"/>
  <c r="C150" i="40"/>
  <c r="F150" i="40" s="1"/>
  <c r="F158" i="40"/>
  <c r="C183" i="40"/>
  <c r="G183" i="40" s="1"/>
  <c r="C222" i="40"/>
  <c r="G222" i="40" s="1"/>
  <c r="F97" i="40"/>
  <c r="G114" i="40"/>
  <c r="G206" i="40"/>
  <c r="F216" i="40"/>
  <c r="F259" i="40"/>
  <c r="F267" i="40"/>
  <c r="F21" i="40"/>
  <c r="G53" i="40"/>
  <c r="G108" i="40"/>
  <c r="G59" i="40"/>
  <c r="C137" i="40"/>
  <c r="F137" i="40" s="1"/>
  <c r="G149" i="40"/>
  <c r="C179" i="40"/>
  <c r="G179" i="40" s="1"/>
  <c r="G196" i="40"/>
  <c r="C25" i="40"/>
  <c r="G28" i="40"/>
  <c r="G52" i="40"/>
  <c r="G56" i="40"/>
  <c r="F80" i="40"/>
  <c r="G101" i="40"/>
  <c r="G113" i="40"/>
  <c r="F122" i="40"/>
  <c r="F132" i="40"/>
  <c r="G140" i="40"/>
  <c r="G205" i="40"/>
  <c r="G218" i="40"/>
  <c r="G230" i="40"/>
  <c r="C268" i="40"/>
  <c r="G268" i="40" s="1"/>
  <c r="C231" i="40"/>
  <c r="G231" i="40" s="1"/>
  <c r="G97" i="40"/>
  <c r="C208" i="40"/>
  <c r="G208" i="40" s="1"/>
  <c r="C69" i="40"/>
  <c r="G79" i="40"/>
  <c r="F169" i="40"/>
  <c r="F177" i="40"/>
  <c r="F200" i="40"/>
  <c r="F221" i="40"/>
  <c r="C202" i="40"/>
  <c r="G202" i="40" s="1"/>
  <c r="G177" i="40"/>
  <c r="C175" i="40"/>
  <c r="G175" i="40" s="1"/>
  <c r="F174" i="40"/>
  <c r="C156" i="40"/>
  <c r="G156" i="40" s="1"/>
  <c r="C144" i="40"/>
  <c r="G144" i="40" s="1"/>
  <c r="C82" i="40"/>
  <c r="G82" i="40" s="1"/>
  <c r="G65" i="40"/>
  <c r="A169" i="39"/>
  <c r="B14" i="48" s="1"/>
  <c r="A163" i="39"/>
  <c r="B12" i="48" s="1"/>
  <c r="A172" i="39"/>
  <c r="B15" i="48" s="1"/>
  <c r="F157" i="39"/>
  <c r="B16" i="48" s="1"/>
  <c r="F160" i="39"/>
  <c r="B17" i="48" s="1"/>
  <c r="F163" i="39"/>
  <c r="B18" i="48" s="1"/>
  <c r="A166" i="39"/>
  <c r="B13" i="48" s="1"/>
  <c r="A160" i="39"/>
  <c r="B11" i="48" s="1"/>
  <c r="A157" i="39"/>
  <c r="B10" i="48" s="1"/>
  <c r="I61" i="9"/>
  <c r="I77" i="9"/>
  <c r="B49" i="49" s="1"/>
  <c r="H104" i="9"/>
  <c r="C107" i="9" s="1"/>
  <c r="I85" i="9"/>
  <c r="I104" i="9" s="1"/>
  <c r="C39" i="49" s="1"/>
  <c r="D75" i="9"/>
  <c r="B43" i="49" s="1"/>
  <c r="D60" i="9"/>
  <c r="B42" i="49" s="1"/>
  <c r="J59" i="6"/>
  <c r="K59" i="6"/>
  <c r="H54" i="6"/>
  <c r="J22" i="6"/>
  <c r="K22" i="6"/>
  <c r="L59" i="6"/>
  <c r="J9" i="6"/>
  <c r="K9" i="6"/>
  <c r="H38" i="6"/>
  <c r="I15" i="6"/>
  <c r="J15" i="6"/>
  <c r="K15" i="6"/>
  <c r="G46" i="6"/>
  <c r="H46" i="6" s="1"/>
  <c r="I46" i="6" s="1"/>
  <c r="J46" i="6" s="1"/>
  <c r="K46" i="6" s="1"/>
  <c r="L46" i="6" s="1"/>
  <c r="F45" i="6"/>
  <c r="G45" i="6" s="1"/>
  <c r="H45" i="6" s="1"/>
  <c r="G44" i="6"/>
  <c r="H44" i="6" s="1"/>
  <c r="I44" i="6" s="1"/>
  <c r="J44" i="6" s="1"/>
  <c r="K44" i="6" s="1"/>
  <c r="L44" i="6" s="1"/>
  <c r="G43" i="6"/>
  <c r="H43" i="6" s="1"/>
  <c r="I43" i="6" s="1"/>
  <c r="J43" i="6" s="1"/>
  <c r="K43" i="6" s="1"/>
  <c r="E52" i="6"/>
  <c r="I52" i="6" s="1"/>
  <c r="I54" i="6" s="1"/>
  <c r="F52" i="6"/>
  <c r="F53" i="6"/>
  <c r="E47" i="6"/>
  <c r="F31" i="6"/>
  <c r="J31" i="6" s="1"/>
  <c r="H13" i="6"/>
  <c r="L13" i="6" s="1"/>
  <c r="H21" i="6"/>
  <c r="L21" i="6" s="1"/>
  <c r="H7" i="6"/>
  <c r="L7" i="6" s="1"/>
  <c r="B66" i="7" l="1"/>
  <c r="C65" i="7"/>
  <c r="C41" i="7"/>
  <c r="D40" i="7"/>
  <c r="H41" i="7"/>
  <c r="I40" i="7"/>
  <c r="B114" i="9"/>
  <c r="B46" i="49"/>
  <c r="B46" i="48"/>
  <c r="B41" i="49"/>
  <c r="B48" i="49"/>
  <c r="B115" i="9"/>
  <c r="B47" i="49"/>
  <c r="B47" i="48"/>
  <c r="F36" i="48"/>
  <c r="J36" i="48"/>
  <c r="I36" i="48"/>
  <c r="K36" i="48"/>
  <c r="H36" i="48"/>
  <c r="G36" i="48"/>
  <c r="N28" i="48"/>
  <c r="N27" i="48"/>
  <c r="N32" i="48"/>
  <c r="N30" i="48"/>
  <c r="N26" i="48"/>
  <c r="G280" i="40"/>
  <c r="B113" i="9"/>
  <c r="B45" i="48"/>
  <c r="B111" i="9"/>
  <c r="B43" i="48"/>
  <c r="B108" i="9"/>
  <c r="B40" i="48"/>
  <c r="C109" i="9"/>
  <c r="C39" i="48"/>
  <c r="B117" i="9"/>
  <c r="B49" i="48"/>
  <c r="B48" i="48"/>
  <c r="B41" i="48"/>
  <c r="B110" i="9"/>
  <c r="B42" i="48"/>
  <c r="N29" i="48"/>
  <c r="C36" i="48"/>
  <c r="N31" i="48"/>
  <c r="D36" i="48"/>
  <c r="N33" i="48"/>
  <c r="E36" i="48"/>
  <c r="N34" i="48"/>
  <c r="N25" i="48"/>
  <c r="B36" i="48"/>
  <c r="N35" i="48"/>
  <c r="G169" i="39"/>
  <c r="C20" i="48" s="1"/>
  <c r="D20" i="48" s="1"/>
  <c r="G271" i="40"/>
  <c r="F117" i="40"/>
  <c r="G250" i="40"/>
  <c r="C298" i="40"/>
  <c r="F208" i="40"/>
  <c r="F222" i="40"/>
  <c r="F19" i="40"/>
  <c r="F110" i="40"/>
  <c r="G293" i="40"/>
  <c r="F293" i="40"/>
  <c r="F179" i="40"/>
  <c r="G193" i="40"/>
  <c r="C126" i="40"/>
  <c r="G126" i="40" s="1"/>
  <c r="B163" i="39" s="1"/>
  <c r="C12" i="48" s="1"/>
  <c r="D12" i="48" s="1"/>
  <c r="G102" i="40"/>
  <c r="F284" i="40"/>
  <c r="F246" i="40"/>
  <c r="C252" i="40"/>
  <c r="G252" i="40" s="1"/>
  <c r="G160" i="39" s="1"/>
  <c r="C17" i="48" s="1"/>
  <c r="D17" i="48" s="1"/>
  <c r="F198" i="40"/>
  <c r="F243" i="40"/>
  <c r="F75" i="40"/>
  <c r="F161" i="40"/>
  <c r="F175" i="40"/>
  <c r="F289" i="40"/>
  <c r="F124" i="40"/>
  <c r="F31" i="40"/>
  <c r="F240" i="40"/>
  <c r="F82" i="40"/>
  <c r="G36" i="40"/>
  <c r="F260" i="40"/>
  <c r="F268" i="40"/>
  <c r="F228" i="40"/>
  <c r="F202" i="40"/>
  <c r="G150" i="40"/>
  <c r="F62" i="40"/>
  <c r="F265" i="40"/>
  <c r="F172" i="40"/>
  <c r="C273" i="40"/>
  <c r="F25" i="40"/>
  <c r="G25" i="40"/>
  <c r="G219" i="40"/>
  <c r="C233" i="40"/>
  <c r="F183" i="40"/>
  <c r="C185" i="40"/>
  <c r="F231" i="40"/>
  <c r="G69" i="40"/>
  <c r="F69" i="40"/>
  <c r="G137" i="40"/>
  <c r="C163" i="40"/>
  <c r="C38" i="40"/>
  <c r="G54" i="40"/>
  <c r="C85" i="40"/>
  <c r="C210" i="40"/>
  <c r="F156" i="40"/>
  <c r="F144" i="40"/>
  <c r="B116" i="9"/>
  <c r="B109" i="9"/>
  <c r="J38" i="6"/>
  <c r="L22" i="6"/>
  <c r="L15" i="6"/>
  <c r="L9" i="6"/>
  <c r="M46" i="6"/>
  <c r="N46" i="6" s="1"/>
  <c r="M44" i="6"/>
  <c r="N44" i="6" s="1"/>
  <c r="F47" i="6"/>
  <c r="I38" i="6"/>
  <c r="I45" i="6"/>
  <c r="J45" i="6" s="1"/>
  <c r="K45" i="6" s="1"/>
  <c r="L45" i="6" s="1"/>
  <c r="H47" i="6"/>
  <c r="G47" i="6"/>
  <c r="M43" i="6"/>
  <c r="N43" i="6" s="1"/>
  <c r="L43" i="6"/>
  <c r="G53" i="6"/>
  <c r="K53" i="6" s="1"/>
  <c r="J53" i="6"/>
  <c r="J52" i="6"/>
  <c r="G52" i="6"/>
  <c r="K52" i="6" s="1"/>
  <c r="I41" i="7" l="1"/>
  <c r="H42" i="7"/>
  <c r="C42" i="7"/>
  <c r="D41" i="7"/>
  <c r="B67" i="7"/>
  <c r="C66" i="7"/>
  <c r="N36" i="49"/>
  <c r="K47" i="6"/>
  <c r="N36" i="48"/>
  <c r="B22" i="48"/>
  <c r="F126" i="40"/>
  <c r="F252" i="40"/>
  <c r="G298" i="40"/>
  <c r="G166" i="39" s="1"/>
  <c r="C19" i="48" s="1"/>
  <c r="D19" i="48" s="1"/>
  <c r="F298" i="40"/>
  <c r="G185" i="40"/>
  <c r="B169" i="39" s="1"/>
  <c r="C14" i="48" s="1"/>
  <c r="D14" i="48" s="1"/>
  <c r="F185" i="40"/>
  <c r="F210" i="40"/>
  <c r="G210" i="40"/>
  <c r="B172" i="39" s="1"/>
  <c r="D15" i="48" s="1"/>
  <c r="G233" i="40"/>
  <c r="G157" i="39" s="1"/>
  <c r="C16" i="48" s="1"/>
  <c r="D16" i="48" s="1"/>
  <c r="F233" i="40"/>
  <c r="F85" i="40"/>
  <c r="G85" i="40"/>
  <c r="B160" i="39" s="1"/>
  <c r="C11" i="48" s="1"/>
  <c r="D11" i="48" s="1"/>
  <c r="G38" i="40"/>
  <c r="B157" i="39" s="1"/>
  <c r="C10" i="48" s="1"/>
  <c r="F38" i="40"/>
  <c r="G163" i="40"/>
  <c r="B166" i="39" s="1"/>
  <c r="C13" i="48" s="1"/>
  <c r="D13" i="48" s="1"/>
  <c r="F163" i="40"/>
  <c r="F273" i="40"/>
  <c r="G273" i="40"/>
  <c r="G163" i="39" s="1"/>
  <c r="C18" i="48" s="1"/>
  <c r="D18" i="48" s="1"/>
  <c r="J47" i="6"/>
  <c r="L47" i="6"/>
  <c r="M45" i="6"/>
  <c r="N45" i="6" s="1"/>
  <c r="N47" i="6" s="1"/>
  <c r="K54" i="6"/>
  <c r="J54" i="6"/>
  <c r="I47" i="6"/>
  <c r="C22" i="48" l="1"/>
  <c r="D10" i="48"/>
  <c r="B68" i="7"/>
  <c r="C67" i="7"/>
  <c r="D42" i="7"/>
  <c r="C43" i="7"/>
  <c r="H43" i="7"/>
  <c r="I42" i="7"/>
  <c r="M47" i="6"/>
  <c r="C68" i="7" l="1"/>
  <c r="B69" i="7"/>
  <c r="I43" i="7"/>
  <c r="H44" i="7"/>
  <c r="C44" i="7"/>
  <c r="D43" i="7"/>
  <c r="B70" i="7" l="1"/>
  <c r="C69" i="7"/>
  <c r="D44" i="7"/>
  <c r="C45" i="7"/>
  <c r="I44" i="7"/>
  <c r="H45" i="7"/>
  <c r="D22" i="48"/>
  <c r="B71" i="7" l="1"/>
  <c r="C70" i="7"/>
  <c r="I45" i="7"/>
  <c r="H46" i="7"/>
  <c r="D45" i="7"/>
  <c r="C46" i="7"/>
  <c r="C71" i="7" l="1"/>
  <c r="B72" i="7"/>
  <c r="D46" i="7"/>
  <c r="C47" i="7"/>
  <c r="H47" i="7"/>
  <c r="I46" i="7"/>
  <c r="B73" i="7" l="1"/>
  <c r="C72" i="7"/>
  <c r="I47" i="7"/>
  <c r="H48" i="7"/>
  <c r="C48" i="7"/>
  <c r="D47" i="7"/>
  <c r="B74" i="7" l="1"/>
  <c r="C73" i="7"/>
  <c r="D48" i="7"/>
  <c r="C49" i="7"/>
  <c r="I48" i="7"/>
  <c r="H49" i="7"/>
  <c r="T141" i="7"/>
  <c r="H50" i="7" l="1"/>
  <c r="I49" i="7"/>
  <c r="C50" i="7"/>
  <c r="D49" i="7"/>
  <c r="C74" i="7"/>
  <c r="B75" i="7"/>
  <c r="I50" i="7" l="1"/>
  <c r="H51" i="7"/>
  <c r="C75" i="7"/>
  <c r="B76" i="7"/>
  <c r="D50" i="7"/>
  <c r="C51" i="7"/>
  <c r="D51" i="7" l="1"/>
  <c r="C52" i="7"/>
  <c r="C76" i="7"/>
  <c r="B77" i="7"/>
  <c r="H52" i="7"/>
  <c r="I51" i="7"/>
  <c r="I52" i="7" l="1"/>
  <c r="H53" i="7"/>
  <c r="B78" i="7"/>
  <c r="C77" i="7"/>
  <c r="H30" i="7"/>
  <c r="I30" i="7" s="1"/>
  <c r="C53" i="7"/>
  <c r="D52" i="7"/>
  <c r="C54" i="7" l="1"/>
  <c r="D53" i="7"/>
  <c r="C78" i="7"/>
  <c r="B79" i="7"/>
  <c r="I53" i="7"/>
  <c r="H54" i="7"/>
  <c r="B80" i="7" l="1"/>
  <c r="C79" i="7"/>
  <c r="D54" i="7"/>
  <c r="C55" i="7"/>
  <c r="H55" i="7"/>
  <c r="I55" i="7" s="1"/>
  <c r="I54" i="7"/>
  <c r="C80" i="7" l="1"/>
  <c r="B81" i="7"/>
  <c r="D55" i="7"/>
  <c r="C56" i="7"/>
  <c r="D32" i="9"/>
  <c r="D37" i="9" s="1"/>
  <c r="B107" i="9" s="1"/>
  <c r="H61" i="6"/>
  <c r="I61" i="6" s="1"/>
  <c r="P103" i="40"/>
  <c r="Q103" i="40"/>
  <c r="C57" i="7" l="1"/>
  <c r="D56" i="7"/>
  <c r="B82" i="7"/>
  <c r="C81" i="7"/>
  <c r="I62" i="6"/>
  <c r="A66" i="6" s="1"/>
  <c r="J61" i="6"/>
  <c r="J62" i="6" s="1"/>
  <c r="C66" i="6" s="1"/>
  <c r="L61" i="6"/>
  <c r="L62" i="6" s="1"/>
  <c r="K61" i="6"/>
  <c r="K62" i="6" s="1"/>
  <c r="D66" i="6" s="1"/>
  <c r="B39" i="49"/>
  <c r="B39" i="48"/>
  <c r="B50" i="48" s="1"/>
  <c r="A53" i="48" s="1"/>
  <c r="C12" i="49"/>
  <c r="D12" i="49" s="1"/>
  <c r="P106" i="40"/>
  <c r="B83" i="7" l="1"/>
  <c r="C82" i="7"/>
  <c r="C58" i="7"/>
  <c r="D57" i="7"/>
  <c r="B50" i="49"/>
  <c r="A53" i="49" s="1"/>
  <c r="B118" i="9"/>
  <c r="A121" i="9" s="1"/>
  <c r="C47" i="49" a="1"/>
  <c r="C47" i="49" s="1"/>
  <c r="C117" i="9" a="1"/>
  <c r="C117" i="9" s="1"/>
  <c r="C47" i="48" a="1"/>
  <c r="C47" i="48" s="1"/>
  <c r="C45" i="49" a="1"/>
  <c r="C45" i="49" s="1"/>
  <c r="C45" i="48" a="1"/>
  <c r="C45" i="48" s="1"/>
  <c r="C115" i="9" a="1"/>
  <c r="C115" i="9" s="1"/>
  <c r="B66" i="6"/>
  <c r="D22" i="49"/>
  <c r="C22" i="49"/>
  <c r="D58" i="7" l="1"/>
  <c r="C59" i="7"/>
  <c r="C83" i="7"/>
  <c r="B84" i="7"/>
  <c r="C41" i="49" a="1"/>
  <c r="C41" i="49" s="1"/>
  <c r="C111" i="9" a="1"/>
  <c r="C111" i="9" s="1"/>
  <c r="C41" i="48" a="1"/>
  <c r="C41" i="48" s="1"/>
  <c r="C43" i="49" a="1"/>
  <c r="C43" i="49" s="1"/>
  <c r="C43" i="48" a="1"/>
  <c r="C43" i="48" s="1"/>
  <c r="C113" i="9" a="1"/>
  <c r="C113" i="9" s="1"/>
  <c r="C84" i="7" l="1"/>
  <c r="B85" i="7"/>
  <c r="C60" i="7"/>
  <c r="D60" i="7" s="1"/>
  <c r="D59" i="7"/>
  <c r="B86" i="7" l="1"/>
  <c r="C86" i="7" s="1"/>
  <c r="C8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3C6A3-841B-4E28-ACE8-8839D296F05F}" keepAlive="1" name="Query - Axie Infinity Price Today" description="Connection to the 'Axie Infinity Price Today' query in the workbook." type="5" refreshedVersion="0" background="1" saveData="1">
    <dbPr connection="Provider=Microsoft.Mashup.OleDb.1;Data Source=$Workbook$;Location=&quot;Axie Infinity Price Today&quot;;Extended Properties=&quot;&quot;" command="SELECT * FROM [Axie Infinity Price Today]"/>
  </connection>
  <connection id="2" xr16:uid="{CC53CC75-3AA6-405D-AFB2-65B86831081F}" keepAlive="1" name="Query - Basic Attention Token Price Today" description="Connection to the 'Basic Attention Token Price Today' query in the workbook." type="5" refreshedVersion="0" background="1" saveData="1">
    <dbPr connection="Provider=Microsoft.Mashup.OleDb.1;Data Source=$Workbook$;Location=&quot;Basic Attention Token Price Today&quot;;Extended Properties=&quot;&quot;" command="SELECT * FROM [Basic Attention Token Price Today]"/>
  </connection>
  <connection id="3" xr16:uid="{DACA1296-0C29-426D-B80D-DEC8678F90CE}" keepAlive="1" name="Query - Bitcoin Price Today" description="Connection to the 'Bitcoin Price Today' query in the workbook." type="5" refreshedVersion="0" background="1">
    <dbPr connection="Provider=Microsoft.Mashup.OleDb.1;Data Source=$Workbook$;Location=&quot;Bitcoin Price Today&quot;;Extended Properties=&quot;&quot;" command="SELECT * FROM [Bitcoin Price Today]"/>
  </connection>
  <connection id="4" xr16:uid="{825319CD-C5FD-4080-9CA1-23D5FCBE1153}" keepAlive="1" name="Query - BNB Price Today" description="Connection to the 'BNB Price Today' query in the workbook." type="5" refreshedVersion="0" background="1">
    <dbPr connection="Provider=Microsoft.Mashup.OleDb.1;Data Source=$Workbook$;Location=&quot;BNB Price Today&quot;;Extended Properties=&quot;&quot;" command="SELECT * FROM [BNB Price Today]"/>
  </connection>
  <connection id="5" xr16:uid="{2BE9EA20-05FB-4A48-A81D-89033BAE4935}" keepAlive="1" name="Query - Cardano Price Today" description="Connection to the 'Cardano Price Today' query in the workbook." type="5" refreshedVersion="0" background="1" saveData="1">
    <dbPr connection="Provider=Microsoft.Mashup.OleDb.1;Data Source=$Workbook$;Location=&quot;Cardano Price Today&quot;;Extended Properties=&quot;&quot;" command="SELECT * FROM [Cardano Price Today]"/>
  </connection>
  <connection id="6" xr16:uid="{CDDF326D-9017-49B5-9B12-4914C7F126CA}" keepAlive="1" name="Query - Coin Prices" description="Connection to the 'Coin Prices' query in the workbook." type="5" refreshedVersion="8" background="1" saveData="1">
    <dbPr connection="Provider=Microsoft.Mashup.OleDb.1;Data Source=$Workbook$;Location=&quot;Coin Prices&quot;;Extended Properties=&quot;&quot;" command="SELECT * FROM [Coin Prices]"/>
  </connection>
  <connection id="7" xr16:uid="{92EC2990-745B-4F6B-83AB-6CD99B1E9546}" keepAlive="1" name="Query - Cronos Price Today" description="Connection to the 'Cronos Price Today' query in the workbook." type="5" refreshedVersion="0" background="1" saveData="1">
    <dbPr connection="Provider=Microsoft.Mashup.OleDb.1;Data Source=$Workbook$;Location=&quot;Cronos Price Today&quot;;Extended Properties=&quot;&quot;" command="SELECT * FROM [Cronos Price Today]"/>
  </connection>
  <connection id="8" xr16:uid="{865DD47B-15A0-4AC0-9899-785A0DB9E459}" keepAlive="1" name="Query - Dai Price Today" description="Connection to the 'Dai Price Today' query in the workbook." type="5" refreshedVersion="0" background="1" saveData="1">
    <dbPr connection="Provider=Microsoft.Mashup.OleDb.1;Data Source=$Workbook$;Location=&quot;Dai Price Today&quot;;Extended Properties=&quot;&quot;" command="SELECT * FROM [Dai Price Today]"/>
  </connection>
  <connection id="9" xr16:uid="{44E3185F-21DF-471C-8888-6CD811DF92DE}" keepAlive="1" name="Query - Decentraland Price Today" description="Connection to the 'Decentraland Price Today' query in the workbook." type="5" refreshedVersion="0" background="1" saveData="1">
    <dbPr connection="Provider=Microsoft.Mashup.OleDb.1;Data Source=$Workbook$;Location=&quot;Decentraland Price Today&quot;;Extended Properties=&quot;&quot;" command="SELECT * FROM [Decentraland Price Today]"/>
  </connection>
  <connection id="10" xr16:uid="{4124C051-0E41-4F28-B978-9F0A6AC4B583}" keepAlive="1" name="Query - Ethereum Price Today" description="Connection to the 'Ethereum Price Today' query in the workbook." type="5" refreshedVersion="0" background="1" saveData="1">
    <dbPr connection="Provider=Microsoft.Mashup.OleDb.1;Data Source=$Workbook$;Location=&quot;Ethereum Price Today&quot;;Extended Properties=&quot;&quot;" command="SELECT * FROM [Ethereum Price Today]"/>
  </connection>
  <connection id="11" xr16:uid="{B34B3F2D-4A3E-4A16-B8B5-DB73B3FAFD5F}" keepAlive="1" name="Query - Gala Price Today" description="Connection to the 'Gala Price Today' query in the workbook." type="5" refreshedVersion="0" background="1" saveData="1">
    <dbPr connection="Provider=Microsoft.Mashup.OleDb.1;Data Source=$Workbook$;Location=&quot;Gala Price Today&quot;;Extended Properties=&quot;&quot;" command="SELECT * FROM [Gala Price Today]"/>
  </connection>
  <connection id="12" xr16:uid="{358676F8-A908-432E-B98C-2C265A8EC8AB}" keepAlive="1" name="Query - JumpToken Price Today" description="Connection to the 'JumpToken Price Today' query in the workbook." type="5" refreshedVersion="0" background="1" saveData="1">
    <dbPr connection="Provider=Microsoft.Mashup.OleDb.1;Data Source=$Workbook$;Location=&quot;JumpToken Price Today&quot;;Extended Properties=&quot;&quot;" command="SELECT * FROM [JumpToken Price Today]"/>
  </connection>
  <connection id="13" xr16:uid="{016C1DD1-C047-4E7A-8F36-482F275BA2B3}" keepAlive="1" name="Query - League of Kingdoms Arena Price Today" description="Connection to the 'League of Kingdoms Arena Price Today' query in the workbook." type="5" refreshedVersion="0" background="1" saveData="1">
    <dbPr connection="Provider=Microsoft.Mashup.OleDb.1;Data Source=$Workbook$;Location=&quot;League of Kingdoms Arena Price Today&quot;;Extended Properties=&quot;&quot;" command="SELECT * FROM [League of Kingdoms Arena Price Today]"/>
  </connection>
  <connection id="14" xr16:uid="{056ED660-72AF-431D-AF8F-C30DD751CCBD}" keepAlive="1" name="Query - Main Crypto Coins" description="Connection to the 'Main Crypto Coins' query in the workbook." type="5" refreshedVersion="8" background="1" saveData="1">
    <dbPr connection="Provider=Microsoft.Mashup.OleDb.1;Data Source=$Workbook$;Location=&quot;Main Crypto Coins&quot;;Extended Properties=&quot;&quot;" command="SELECT * FROM [Main Crypto Coins]"/>
  </connection>
  <connection id="15" xr16:uid="{E6A1023D-713D-46B5-BD4E-29FFE57D06E3}" keepAlive="1" name="Query - Materium Price Today" description="Connection to the 'Materium Price Today' query in the workbook." type="5" refreshedVersion="0" background="1" saveData="1">
    <dbPr connection="Provider=Microsoft.Mashup.OleDb.1;Data Source=$Workbook$;Location=&quot;Materium Price Today&quot;;Extended Properties=&quot;&quot;" command="SELECT * FROM [Materium Price Today]"/>
  </connection>
  <connection id="16" xr16:uid="{D395AA7A-435F-4AF4-9EC7-7B7906A00D0A}" keepAlive="1" name="Query - Metaverse Tokens" description="Connection to the 'Metaverse Tokens' query in the workbook." type="5" refreshedVersion="8" background="1" saveData="1">
    <dbPr connection="Provider=Microsoft.Mashup.OleDb.1;Data Source=$Workbook$;Location=&quot;Metaverse Tokens&quot;;Extended Properties=&quot;&quot;" command="SELECT * FROM [Metaverse Tokens]"/>
  </connection>
  <connection id="17" xr16:uid="{690DCA7E-8BE9-4805-B7AD-D7FA0F80E3A3}" keepAlive="1" name="Query - Miners and Other" description="Connection to the 'Miners and Other' query in the workbook." type="5" refreshedVersion="8" background="1" saveData="1">
    <dbPr connection="Provider=Microsoft.Mashup.OleDb.1;Data Source=$Workbook$;Location=&quot;Miners and Other&quot;;Extended Properties=&quot;&quot;" command="SELECT * FROM [Miners and Other]"/>
  </connection>
  <connection id="18" xr16:uid="{A97DF440-DB08-4FB8-A2F5-BD3AC097B331}" keepAlive="1" name="Query - Nodle Price Today" description="Connection to the 'Nodle Price Today' query in the workbook." type="5" refreshedVersion="0" background="1" saveData="1">
    <dbPr connection="Provider=Microsoft.Mashup.OleDb.1;Data Source=$Workbook$;Location=&quot;Nodle Price Today&quot;;Extended Properties=&quot;&quot;" command="SELECT * FROM [Nodle Price Today]"/>
  </connection>
  <connection id="19" xr16:uid="{29443611-71A4-441C-9E3F-38C62D2E58F0}" keepAlive="1" name="Query - Phantasma Price Today (2)" description="Connection to the 'Phantasma Price Today (2)' query in the workbook." type="5" refreshedVersion="0" background="1" saveData="1">
    <dbPr connection="Provider=Microsoft.Mashup.OleDb.1;Data Source=$Workbook$;Location=&quot;Phantasma Price Today (2)&quot;;Extended Properties=&quot;&quot;" command="SELECT * FROM [Phantasma Price Today (2)]"/>
  </connection>
  <connection id="20" xr16:uid="{60BFA1B9-C965-4364-B946-7E8747243B4E}" keepAlive="1" name="Query - Pi Price Today" description="Connection to the 'Pi Price Today' query in the workbook." type="5" refreshedVersion="0" background="1" saveData="1">
    <dbPr connection="Provider=Microsoft.Mashup.OleDb.1;Data Source=$Workbook$;Location=&quot;Pi Price Today&quot;;Extended Properties=&quot;&quot;" command="SELECT * FROM [Pi Price Today]"/>
  </connection>
  <connection id="21" xr16:uid="{DB50E780-6F49-47A0-9446-AA101E9FD036}" keepAlive="1" name="Query - Shiba Inu Price Today" description="Connection to the 'Shiba Inu Price Today' query in the workbook." type="5" refreshedVersion="0" background="1" saveData="1">
    <dbPr connection="Provider=Microsoft.Mashup.OleDb.1;Data Source=$Workbook$;Location=&quot;Shiba Inu Price Today&quot;;Extended Properties=&quot;&quot;" command="SELECT * FROM [Shiba Inu Price Today]"/>
  </connection>
  <connection id="22" xr16:uid="{79D94DDE-5BEC-49D2-9186-837950CD9C15}" keepAlive="1" name="Query - Solana Price Today" description="Connection to the 'Solana Price Today' query in the workbook." type="5" refreshedVersion="0" background="1" saveData="1">
    <dbPr connection="Provider=Microsoft.Mashup.OleDb.1;Data Source=$Workbook$;Location=&quot;Solana Price Today&quot;;Extended Properties=&quot;&quot;" command="SELECT * FROM [Solana Price Today]"/>
  </connection>
  <connection id="23" xr16:uid="{82FABB15-1549-477B-81C1-B2AEFC8D1FB7}" keepAlive="1" name="Query - Sperax Price Today" description="Connection to the 'Sperax Price Today' query in the workbook." type="5" refreshedVersion="0" background="1" saveData="1">
    <dbPr connection="Provider=Microsoft.Mashup.OleDb.1;Data Source=$Workbook$;Location=&quot;Sperax Price Today&quot;;Extended Properties=&quot;&quot;" command="SELECT * FROM [Sperax Price Today]"/>
  </connection>
  <connection id="24" xr16:uid="{148EB3B6-4E79-4BB6-B934-4FFA9D4645BD}" keepAlive="1" name="Query - The Sandbox Price Today" description="Connection to the 'The Sandbox Price Today' query in the workbook." type="5" refreshedVersion="0" background="1" saveData="1">
    <dbPr connection="Provider=Microsoft.Mashup.OleDb.1;Data Source=$Workbook$;Location=&quot;The Sandbox Price Today&quot;;Extended Properties=&quot;&quot;" command="SELECT * FROM [The Sandbox Price Today]"/>
  </connection>
  <connection id="25" xr16:uid="{8D7E861C-8A75-448E-843A-DBBE9016D4D7}" keepAlive="1" name="Query - Theta Network Price Today" description="Connection to the 'Theta Network Price Today' query in the workbook." type="5" refreshedVersion="0" background="1" saveData="1">
    <dbPr connection="Provider=Microsoft.Mashup.OleDb.1;Data Source=$Workbook$;Location=&quot;Theta Network Price Today&quot;;Extended Properties=&quot;&quot;" command="SELECT * FROM [Theta Network Price Today]"/>
  </connection>
  <connection id="26" xr16:uid="{0D5E0BEE-B62D-4E77-BE29-E3623B91FB7C}" keepAlive="1" name="Query - Town Star Price Today" description="Connection to the 'Town Star Price Today' query in the workbook." type="5" refreshedVersion="0" background="1" saveData="1">
    <dbPr connection="Provider=Microsoft.Mashup.OleDb.1;Data Source=$Workbook$;Location=&quot;Town Star Price Today&quot;;Extended Properties=&quot;&quot;" command="SELECT * FROM [Town Star Price Today]"/>
  </connection>
  <connection id="27" xr16:uid="{8720B4A0-7512-4625-8AA0-31BA02BD16A3}" keepAlive="1" name="Query - Voxies Price Today" description="Connection to the 'Voxies Price Today' query in the workbook." type="5" refreshedVersion="0" background="1" saveData="1">
    <dbPr connection="Provider=Microsoft.Mashup.OleDb.1;Data Source=$Workbook$;Location=&quot;Voxies Price Today&quot;;Extended Properties=&quot;&quot;" command="SELECT * FROM [Voxies Price Today]"/>
  </connection>
  <connection id="28" xr16:uid="{FD945160-ADC8-4F0C-A193-160389244DC9}" keepAlive="1" name="Query - XYO Price Today" description="Connection to the 'XYO Price Today' query in the workbook." type="5" refreshedVersion="0" background="1" saveData="1">
    <dbPr connection="Provider=Microsoft.Mashup.OleDb.1;Data Source=$Workbook$;Location=&quot;XYO Price Today&quot;;Extended Properties=&quot;&quot;" command="SELECT * FROM [XYO Price Toda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<sst xmlns="http://schemas.openxmlformats.org/spreadsheetml/2006/main" count="5019" uniqueCount="1468">
  <si>
    <t>Browser Miners</t>
  </si>
  <si>
    <t>Data Miners</t>
  </si>
  <si>
    <t>HoneyGain</t>
  </si>
  <si>
    <t>IPRoyal Pawns</t>
  </si>
  <si>
    <t>Kryptex</t>
  </si>
  <si>
    <t>Cointiply</t>
  </si>
  <si>
    <t>.</t>
  </si>
  <si>
    <t>Axie Infinity</t>
  </si>
  <si>
    <t>League of Kingdoms</t>
  </si>
  <si>
    <t>Blankos</t>
  </si>
  <si>
    <t>Voxie Tactics</t>
  </si>
  <si>
    <t>Video Accounts</t>
  </si>
  <si>
    <t>Wallet</t>
  </si>
  <si>
    <t>InboxDollars</t>
  </si>
  <si>
    <t>BTC</t>
  </si>
  <si>
    <t>Fincancial Portfolio: Investment Ledger</t>
  </si>
  <si>
    <t>DAI</t>
  </si>
  <si>
    <t>BAT</t>
  </si>
  <si>
    <t>AXS</t>
  </si>
  <si>
    <t>LOKA</t>
  </si>
  <si>
    <t>JMPT</t>
  </si>
  <si>
    <t>GPU &amp; CPU Miners:</t>
  </si>
  <si>
    <t>Miner Website:</t>
  </si>
  <si>
    <t>Coin</t>
  </si>
  <si>
    <t>Mh (Average)</t>
  </si>
  <si>
    <t>Profit/Day (Coin)</t>
  </si>
  <si>
    <t>Profit/Week (Coin)</t>
  </si>
  <si>
    <t>Profit/Month (Coin)</t>
  </si>
  <si>
    <t>Profit/Year (Coin)</t>
  </si>
  <si>
    <t>Profit/Day ($)</t>
  </si>
  <si>
    <t>Profit/Week ($)</t>
  </si>
  <si>
    <t>Profit/Month ($)</t>
  </si>
  <si>
    <t>Profit/Year ($)</t>
  </si>
  <si>
    <t>Unmineable: SHIBA</t>
  </si>
  <si>
    <t>SHIBA</t>
  </si>
  <si>
    <t>Avg. Total:</t>
  </si>
  <si>
    <t>Atomic: 0x0C203Fcf60F1e7B6224D1f44641e51715f4C434D</t>
  </si>
  <si>
    <t>Exchange Miners:</t>
  </si>
  <si>
    <t>Miner Level</t>
  </si>
  <si>
    <t>StormGain</t>
  </si>
  <si>
    <t>x5 + 15% of referals</t>
  </si>
  <si>
    <t>with 15% every month</t>
  </si>
  <si>
    <t>Data Miners:</t>
  </si>
  <si>
    <t>Referrals</t>
  </si>
  <si>
    <t xml:space="preserve"> - Asset 2: JumpTask</t>
  </si>
  <si>
    <t xml:space="preserve"> - Asset 1: HoneyGain</t>
  </si>
  <si>
    <t>In-App</t>
  </si>
  <si>
    <t xml:space="preserve">Wallet </t>
  </si>
  <si>
    <t>Other Miners</t>
  </si>
  <si>
    <t>Profit/Week($)</t>
  </si>
  <si>
    <t>Dollars</t>
  </si>
  <si>
    <t>Avg. Total</t>
  </si>
  <si>
    <t>Video Accounts:</t>
  </si>
  <si>
    <t>VIdeo Website</t>
  </si>
  <si>
    <t>Points/Hour</t>
  </si>
  <si>
    <t>Points/Day</t>
  </si>
  <si>
    <t>Points/Week</t>
  </si>
  <si>
    <t>Points/Month</t>
  </si>
  <si>
    <t>Points/Year</t>
  </si>
  <si>
    <t>TryAtHome/HideoutTV/LootTV</t>
  </si>
  <si>
    <t>Asset 1: HidehoutTV</t>
  </si>
  <si>
    <t>Points</t>
  </si>
  <si>
    <t>Asset 2: LootTV</t>
  </si>
  <si>
    <t>NFT Accounts:</t>
  </si>
  <si>
    <t>NFT Website</t>
  </si>
  <si>
    <t>TownStar</t>
  </si>
  <si>
    <t>TOWN</t>
  </si>
  <si>
    <t>Asset 1</t>
  </si>
  <si>
    <t>Asset 2</t>
  </si>
  <si>
    <t>VOXEL</t>
  </si>
  <si>
    <t>MOOLA</t>
  </si>
  <si>
    <t>Crypto Games:</t>
  </si>
  <si>
    <t>Passive Games</t>
  </si>
  <si>
    <t>Base Rate per Rarity/Second</t>
  </si>
  <si>
    <t>Number of Items</t>
  </si>
  <si>
    <t>Pre Total/Sec</t>
  </si>
  <si>
    <t>Badges (5%)</t>
  </si>
  <si>
    <t>Bonus (x30)</t>
  </si>
  <si>
    <t>Profit/Sec ($)</t>
  </si>
  <si>
    <t>Profit/Min ($)</t>
  </si>
  <si>
    <t>Profit/Hour ($)</t>
  </si>
  <si>
    <t>Atlas</t>
  </si>
  <si>
    <t>Asset 1: Common Land</t>
  </si>
  <si>
    <t>$</t>
  </si>
  <si>
    <t>Asset 2: Rare Land</t>
  </si>
  <si>
    <t>Asset 3: Epic Land</t>
  </si>
  <si>
    <t>Asset 4: Legendary Land</t>
  </si>
  <si>
    <t>Total Passive Earnings ($/Day)</t>
  </si>
  <si>
    <t>Total Passive Earnings ($/Week)</t>
  </si>
  <si>
    <t>Total Passive Earnings ($/Month)</t>
  </si>
  <si>
    <t>Total Passive Earnings ($/Year)</t>
  </si>
  <si>
    <t>Total Badges = 10 - 5%</t>
  </si>
  <si>
    <t>Earning Claims</t>
  </si>
  <si>
    <t>Faucet Accounts</t>
  </si>
  <si>
    <t>Start Date</t>
  </si>
  <si>
    <t>Start Amount($)</t>
  </si>
  <si>
    <t>Account Status ($)</t>
  </si>
  <si>
    <t>Claim Amount ($)</t>
  </si>
  <si>
    <t>Survey Accounts</t>
  </si>
  <si>
    <t>Paid Viewpoint</t>
  </si>
  <si>
    <t>Amount Claim ($)</t>
  </si>
  <si>
    <t>Merge Dragons</t>
  </si>
  <si>
    <t>Mafia City</t>
  </si>
  <si>
    <t>Chief Almighty</t>
  </si>
  <si>
    <t>Account Status (Coin)</t>
  </si>
  <si>
    <t>Claim Amount (Coin)</t>
  </si>
  <si>
    <t>TryAtHome/HideoutTV</t>
  </si>
  <si>
    <t>Loot.tv</t>
  </si>
  <si>
    <t>Receipt Apps</t>
  </si>
  <si>
    <t>Receipt Hog</t>
  </si>
  <si>
    <t>Receipt Pal</t>
  </si>
  <si>
    <t>Fetch Rewards</t>
  </si>
  <si>
    <t>Coinout</t>
  </si>
  <si>
    <t>Ibotta</t>
  </si>
  <si>
    <t>Actual today -</t>
  </si>
  <si>
    <t>Staking</t>
  </si>
  <si>
    <t>Date Staked</t>
  </si>
  <si>
    <t>Price at Purchase (Coin)</t>
  </si>
  <si>
    <t>Start Amount (Coin)</t>
  </si>
  <si>
    <t>Amount ($)</t>
  </si>
  <si>
    <t>Current APR</t>
  </si>
  <si>
    <t>Current APR Amount (Daily)</t>
  </si>
  <si>
    <t>New Amount (Coin)</t>
  </si>
  <si>
    <t>New Amount ($)</t>
  </si>
  <si>
    <t>Ronin Staking</t>
  </si>
  <si>
    <t>Start Amount ($)</t>
  </si>
  <si>
    <t>New Claim Date</t>
  </si>
  <si>
    <t>NFT Claims</t>
  </si>
  <si>
    <t>- Asset 1: Land: 139484</t>
  </si>
  <si>
    <t>- Land Loka</t>
  </si>
  <si>
    <t>- Asset 2: Land: 139483</t>
  </si>
  <si>
    <t>Crypto Miners</t>
  </si>
  <si>
    <t>5/31/22</t>
  </si>
  <si>
    <t>- Asset 2: JumpTask</t>
  </si>
  <si>
    <t>Brave</t>
  </si>
  <si>
    <t>Receipt Jar</t>
  </si>
  <si>
    <t>Tada</t>
  </si>
  <si>
    <t>Pogo</t>
  </si>
  <si>
    <t xml:space="preserve"> - </t>
  </si>
  <si>
    <t>Crypto Only</t>
  </si>
  <si>
    <t>Crypto Staking</t>
  </si>
  <si>
    <t>Points &amp; Dollars</t>
  </si>
  <si>
    <t>HoneyGain: JumbTask</t>
  </si>
  <si>
    <t>Price at Stake (Coin)</t>
  </si>
  <si>
    <t xml:space="preserve">Puzzles &amp; Survival </t>
  </si>
  <si>
    <t>Pending</t>
  </si>
  <si>
    <t># Restaked</t>
  </si>
  <si>
    <t xml:space="preserve">New Total </t>
  </si>
  <si>
    <t>(From Interest)</t>
  </si>
  <si>
    <t>Land and Interest Totals</t>
  </si>
  <si>
    <t>Start Date: (9/27/21)</t>
  </si>
  <si>
    <t>Crypto Exchanges</t>
  </si>
  <si>
    <t>Investment Apps</t>
  </si>
  <si>
    <t>Accounts: Crypto Exchanges</t>
  </si>
  <si>
    <t>Amount (Coin)</t>
  </si>
  <si>
    <t>Accounts: Invest. Apps</t>
  </si>
  <si>
    <t>Coinbase</t>
  </si>
  <si>
    <t>Acorns</t>
  </si>
  <si>
    <t>ETH</t>
  </si>
  <si>
    <t>Stash</t>
  </si>
  <si>
    <t>GALA</t>
  </si>
  <si>
    <t>Total:</t>
  </si>
  <si>
    <t>Binance US</t>
  </si>
  <si>
    <t>BNB</t>
  </si>
  <si>
    <t>Paid Videos</t>
  </si>
  <si>
    <t>Huobi Global</t>
  </si>
  <si>
    <t>Accounts: Paid Videos</t>
  </si>
  <si>
    <t>HideOutTV</t>
  </si>
  <si>
    <t>LootTV</t>
  </si>
  <si>
    <t>Uphold</t>
  </si>
  <si>
    <t>Kucoin</t>
  </si>
  <si>
    <t>SOUL</t>
  </si>
  <si>
    <t>Stormgain</t>
  </si>
  <si>
    <t>Faucets/Surveys</t>
  </si>
  <si>
    <t>Crypto.com</t>
  </si>
  <si>
    <t>CRO</t>
  </si>
  <si>
    <t>Accounts: Faucets/Surveys</t>
  </si>
  <si>
    <t>Uniswap</t>
  </si>
  <si>
    <t xml:space="preserve"> - Account 1 (Dan)</t>
  </si>
  <si>
    <t xml:space="preserve"> - Account 2 (Zach)</t>
  </si>
  <si>
    <t>Crypto Wallets</t>
  </si>
  <si>
    <t>Inboxdollars</t>
  </si>
  <si>
    <t>Accounts: Crypto Wallets</t>
  </si>
  <si>
    <t>PaidViewpoint</t>
  </si>
  <si>
    <t>Coinbase Wallet</t>
  </si>
  <si>
    <t>Metamask</t>
  </si>
  <si>
    <t>Paid Tasks/Surveys Apps</t>
  </si>
  <si>
    <t xml:space="preserve"> - Asset 1: Main Account </t>
  </si>
  <si>
    <t>Accounts: Paid Tasks/Survey Apps</t>
  </si>
  <si>
    <t xml:space="preserve"> - Asset 2: NFT Accounts </t>
  </si>
  <si>
    <t>Rewards App</t>
  </si>
  <si>
    <t xml:space="preserve"> - Asset 3: JumpTask </t>
  </si>
  <si>
    <t>Google Rewards</t>
  </si>
  <si>
    <t xml:space="preserve"> - Asset 4: Cops &amp; Robber's</t>
  </si>
  <si>
    <t>Surveys App</t>
  </si>
  <si>
    <t xml:space="preserve"> - Asset 5: League of Kingdoms</t>
  </si>
  <si>
    <t>Poll Pay</t>
  </si>
  <si>
    <t xml:space="preserve"> - Asset 6: The Sandbox</t>
  </si>
  <si>
    <t>Qmee</t>
  </si>
  <si>
    <t xml:space="preserve"> - Asset 7: Gala Games</t>
  </si>
  <si>
    <t>Influnce</t>
  </si>
  <si>
    <t>Ronin</t>
  </si>
  <si>
    <t>Slicethepie</t>
  </si>
  <si>
    <t>Electronium</t>
  </si>
  <si>
    <t>Ecto Wallet</t>
  </si>
  <si>
    <t>Helium</t>
  </si>
  <si>
    <t>HNT</t>
  </si>
  <si>
    <t>Accounts: Receipt Apps</t>
  </si>
  <si>
    <t>Juicy Field</t>
  </si>
  <si>
    <t>Staking Wallets</t>
  </si>
  <si>
    <t>Accounts: Staking Wallets</t>
  </si>
  <si>
    <t>BlockFi</t>
  </si>
  <si>
    <t>Yoroi Cardano Wallet</t>
  </si>
  <si>
    <t>ADA</t>
  </si>
  <si>
    <t>Attomic Wallet</t>
  </si>
  <si>
    <t>Exodus Wallet</t>
  </si>
  <si>
    <t>ThunderCore</t>
  </si>
  <si>
    <t>TT</t>
  </si>
  <si>
    <t>App Miners</t>
  </si>
  <si>
    <t>Accounts: Crypto App Miners</t>
  </si>
  <si>
    <t>GPU/CPU &amp; Data Miners</t>
  </si>
  <si>
    <t>Pi Wallet</t>
  </si>
  <si>
    <t>Pi Network</t>
  </si>
  <si>
    <t>Accounts: GPU/CPU &amp; Data Miners</t>
  </si>
  <si>
    <t>Bee Wallet</t>
  </si>
  <si>
    <t>Bee Network</t>
  </si>
  <si>
    <t>Sperax Wallet</t>
  </si>
  <si>
    <t>SPX</t>
  </si>
  <si>
    <t>Asset 1: Jumptask</t>
  </si>
  <si>
    <t>Hi Wallet</t>
  </si>
  <si>
    <t>HI</t>
  </si>
  <si>
    <t>Unmineable</t>
  </si>
  <si>
    <t>Geo Coin</t>
  </si>
  <si>
    <t>XYO</t>
  </si>
  <si>
    <t>Eagle Network</t>
  </si>
  <si>
    <t>EAN</t>
  </si>
  <si>
    <t>Star Network</t>
  </si>
  <si>
    <t>STAR</t>
  </si>
  <si>
    <t>Bondex Origin</t>
  </si>
  <si>
    <t>BNDX</t>
  </si>
  <si>
    <t>Midoin</t>
  </si>
  <si>
    <t>M</t>
  </si>
  <si>
    <t>Geo Cash</t>
  </si>
  <si>
    <t>GEO</t>
  </si>
  <si>
    <t>Fitness &amp; Driving Apps</t>
  </si>
  <si>
    <t>NFT Accounts</t>
  </si>
  <si>
    <t>Start Date: 10/12/21</t>
  </si>
  <si>
    <t>Accounts: Fitness &amp; Driving Apps</t>
  </si>
  <si>
    <t>Accounts: NFT Accounts</t>
  </si>
  <si>
    <t>OnMyWay Driving</t>
  </si>
  <si>
    <t>Gala Games</t>
  </si>
  <si>
    <t xml:space="preserve">Safe 2 Save </t>
  </si>
  <si>
    <t>Miles</t>
  </si>
  <si>
    <t>Paidtogo</t>
  </si>
  <si>
    <t>Asset 3</t>
  </si>
  <si>
    <t>Test Silk</t>
  </si>
  <si>
    <t>sMiles</t>
  </si>
  <si>
    <t>Sats</t>
  </si>
  <si>
    <t>Asset 4</t>
  </si>
  <si>
    <t>Upside</t>
  </si>
  <si>
    <t>Noodle Cash</t>
  </si>
  <si>
    <t>NODL</t>
  </si>
  <si>
    <t>Million Steps</t>
  </si>
  <si>
    <t>Steps</t>
  </si>
  <si>
    <t>LifeCoin</t>
  </si>
  <si>
    <t>Atlas Earth</t>
  </si>
  <si>
    <t>Walk &amp; Earn</t>
  </si>
  <si>
    <t>Cashwalk</t>
  </si>
  <si>
    <t>SweatCoin</t>
  </si>
  <si>
    <t>Estimate at price of purchase</t>
  </si>
  <si>
    <t>NFT Asset Account</t>
  </si>
  <si>
    <t>Asset</t>
  </si>
  <si>
    <t>Date Purchased</t>
  </si>
  <si>
    <t>Gas Fee</t>
  </si>
  <si>
    <t>Total Price Spent ($)</t>
  </si>
  <si>
    <t>Future Amount (Coin)</t>
  </si>
  <si>
    <t>Future Amount ($)</t>
  </si>
  <si>
    <t>x3 Axie:</t>
  </si>
  <si>
    <t>TRADED</t>
  </si>
  <si>
    <t>x1 Axie for Lunachian: Snack Box</t>
  </si>
  <si>
    <t>Traded</t>
  </si>
  <si>
    <t>Traded for Lunacian Item</t>
  </si>
  <si>
    <t>x1 Axie for Lunachian: Firecrackers</t>
  </si>
  <si>
    <t>x1 Axie for Lunachian: Blossom Tree</t>
  </si>
  <si>
    <t>Asset 5</t>
  </si>
  <si>
    <t>x1 Axie: #10956255</t>
  </si>
  <si>
    <t>Asset 6</t>
  </si>
  <si>
    <t>x1 Axie: #4111591</t>
  </si>
  <si>
    <t>Asset 7</t>
  </si>
  <si>
    <t>x1 Axie: #8843491</t>
  </si>
  <si>
    <t>Asset 8</t>
  </si>
  <si>
    <t>x1 Axie: #6320936</t>
  </si>
  <si>
    <t>Asset 9</t>
  </si>
  <si>
    <t>x1 Axie: #5178836</t>
  </si>
  <si>
    <t>Asset 10</t>
  </si>
  <si>
    <t>x1 Axie: #10933219</t>
  </si>
  <si>
    <t>Asset 11</t>
  </si>
  <si>
    <t>x1 Axie: #4014808</t>
  </si>
  <si>
    <t>Asset 12</t>
  </si>
  <si>
    <t>x1 Land:</t>
  </si>
  <si>
    <t>x1 Lvl 3 Land: #139483</t>
  </si>
  <si>
    <t>x1 Lvl 2 Land: #139484</t>
  </si>
  <si>
    <t>x4 Skins</t>
  </si>
  <si>
    <t>Townstar</t>
  </si>
  <si>
    <t>x2 Buggy Waterbot</t>
  </si>
  <si>
    <t>Express Depot</t>
  </si>
  <si>
    <t>Flour Storage</t>
  </si>
  <si>
    <t>Spider Tanks</t>
  </si>
  <si>
    <t>x1 Junker (Common Body)</t>
  </si>
  <si>
    <t>x1 Cannon (Uncommon Body)</t>
  </si>
  <si>
    <t>Totals:</t>
  </si>
  <si>
    <t>NFT Asset Total (Future Return)</t>
  </si>
  <si>
    <t>Passive Earnings (AVG./Day)</t>
  </si>
  <si>
    <t>Crypto App Miners</t>
  </si>
  <si>
    <t>Passive Earnings (AVG./Week)</t>
  </si>
  <si>
    <t>Crypto Faucets/Surveys</t>
  </si>
  <si>
    <t>Paid Tasks/Survey Apps</t>
  </si>
  <si>
    <t>Passive Earnings (AVG./Year)</t>
  </si>
  <si>
    <t xml:space="preserve">Receipts </t>
  </si>
  <si>
    <t>Driving &amp; Fitness Apps</t>
  </si>
  <si>
    <t>Total Wealth: Assets</t>
  </si>
  <si>
    <t>Expenses</t>
  </si>
  <si>
    <t>Bank</t>
  </si>
  <si>
    <t>Credit</t>
  </si>
  <si>
    <t>Cash</t>
  </si>
  <si>
    <t>Total</t>
  </si>
  <si>
    <t>Owed</t>
  </si>
  <si>
    <t>Gas</t>
  </si>
  <si>
    <t>Reg Store</t>
  </si>
  <si>
    <t>Gas Station Items</t>
  </si>
  <si>
    <t>Months</t>
  </si>
  <si>
    <t>Net</t>
  </si>
  <si>
    <t>Savings</t>
  </si>
  <si>
    <t>Bars</t>
  </si>
  <si>
    <t>Restaurants</t>
  </si>
  <si>
    <t>Activities</t>
  </si>
  <si>
    <t>-</t>
  </si>
  <si>
    <t>Gifts</t>
  </si>
  <si>
    <t>Totals</t>
  </si>
  <si>
    <t>Reacurring Investments</t>
  </si>
  <si>
    <t>Date</t>
  </si>
  <si>
    <t>Errands</t>
  </si>
  <si>
    <t>Amount</t>
  </si>
  <si>
    <t>Notes</t>
  </si>
  <si>
    <t>Dad</t>
  </si>
  <si>
    <t>Mom: Picked up Car</t>
  </si>
  <si>
    <t>- In Gas</t>
  </si>
  <si>
    <t>Country Boom Ride</t>
  </si>
  <si>
    <t>- For Gas</t>
  </si>
  <si>
    <t>- Food</t>
  </si>
  <si>
    <t>- Paid back</t>
  </si>
  <si>
    <t>Kwik Trip</t>
  </si>
  <si>
    <t>Walmart</t>
  </si>
  <si>
    <t>Woodmans</t>
  </si>
  <si>
    <t>CVS</t>
  </si>
  <si>
    <t>Festival</t>
  </si>
  <si>
    <t>- Cash</t>
  </si>
  <si>
    <t>Gas Stations</t>
  </si>
  <si>
    <t>Week 1:</t>
  </si>
  <si>
    <t>- Saturday</t>
  </si>
  <si>
    <t>Week 3:</t>
  </si>
  <si>
    <t>- Thurs</t>
  </si>
  <si>
    <t>Other Gas Station</t>
  </si>
  <si>
    <t>Week 4:</t>
  </si>
  <si>
    <t>Week 1: +Rides</t>
  </si>
  <si>
    <t>Week 1: Rides</t>
  </si>
  <si>
    <t>Week 2: +Rides</t>
  </si>
  <si>
    <t>- Thursday</t>
  </si>
  <si>
    <t>- Zach in town</t>
  </si>
  <si>
    <t>Restuarants</t>
  </si>
  <si>
    <t>- Friday</t>
  </si>
  <si>
    <t>Week 2:</t>
  </si>
  <si>
    <t>The Crow (Work)</t>
  </si>
  <si>
    <t>Week 3: Rides</t>
  </si>
  <si>
    <t>Week 3: +Rides</t>
  </si>
  <si>
    <t>Lovechild</t>
  </si>
  <si>
    <t>- Date Night</t>
  </si>
  <si>
    <t>- Card Transactions</t>
  </si>
  <si>
    <t>Week 1</t>
  </si>
  <si>
    <t>- Wednesday</t>
  </si>
  <si>
    <t>Big Als</t>
  </si>
  <si>
    <t>Tea Shop UWL</t>
  </si>
  <si>
    <t>Week 4: +Rides</t>
  </si>
  <si>
    <t>- Ssturday</t>
  </si>
  <si>
    <t>Week 2</t>
  </si>
  <si>
    <t>Week 5:</t>
  </si>
  <si>
    <t>Qdoba</t>
  </si>
  <si>
    <t>- After Mt. Olympus</t>
  </si>
  <si>
    <t>Week 3</t>
  </si>
  <si>
    <t>Caribou Coffee</t>
  </si>
  <si>
    <t>Caribou</t>
  </si>
  <si>
    <t>Politos</t>
  </si>
  <si>
    <t>Week 4</t>
  </si>
  <si>
    <t>MSN Cafe</t>
  </si>
  <si>
    <t>Trip - Madison</t>
  </si>
  <si>
    <t>- Chase Paid back $15</t>
  </si>
  <si>
    <t>McDonalds</t>
  </si>
  <si>
    <t>Aloft Hotel</t>
  </si>
  <si>
    <t>- Florida</t>
  </si>
  <si>
    <t>Auntie Anns</t>
  </si>
  <si>
    <t>Rooster Puffs</t>
  </si>
  <si>
    <t>Brick House</t>
  </si>
  <si>
    <t>Subway</t>
  </si>
  <si>
    <t>Sweetwater</t>
  </si>
  <si>
    <t>Vale Food</t>
  </si>
  <si>
    <t>The Root Note</t>
  </si>
  <si>
    <t>Noodles and Company</t>
  </si>
  <si>
    <t>FL State Concessions</t>
  </si>
  <si>
    <t>Chucks Fish</t>
  </si>
  <si>
    <t>Madison Social</t>
  </si>
  <si>
    <t>The Charmont: Rooftop</t>
  </si>
  <si>
    <t>Howies</t>
  </si>
  <si>
    <t>The Edison Restaurant</t>
  </si>
  <si>
    <t>JavaVino</t>
  </si>
  <si>
    <t>Atlanta Conce</t>
  </si>
  <si>
    <t>Connection</t>
  </si>
  <si>
    <t>Culvers</t>
  </si>
  <si>
    <t>Starbucks</t>
  </si>
  <si>
    <t>- Drinks</t>
  </si>
  <si>
    <t>Tailwind</t>
  </si>
  <si>
    <t>Pettibone</t>
  </si>
  <si>
    <t>- Dad Paid</t>
  </si>
  <si>
    <t>Mirage Sports Bar</t>
  </si>
  <si>
    <t>Forest Hills Golf</t>
  </si>
  <si>
    <t>Buzzard Billy's</t>
  </si>
  <si>
    <t>Country Jam Tickets</t>
  </si>
  <si>
    <t>Plane Ticket</t>
  </si>
  <si>
    <t>Jules House Cafe</t>
  </si>
  <si>
    <t>New Beginnings: Haircut</t>
  </si>
  <si>
    <t>Haircut</t>
  </si>
  <si>
    <t>Mt. Olympus Park</t>
  </si>
  <si>
    <t>- Drinks &amp; Food</t>
  </si>
  <si>
    <t>Picked Vintage</t>
  </si>
  <si>
    <t>- Florida(Clothes)</t>
  </si>
  <si>
    <t>- Parking &amp; Gas</t>
  </si>
  <si>
    <t>Monthly trading fee</t>
  </si>
  <si>
    <t>Aniversary Flowers</t>
  </si>
  <si>
    <t>DoorDash</t>
  </si>
  <si>
    <t>Grandpa</t>
  </si>
  <si>
    <t>Thift Shop: Lindsey</t>
  </si>
  <si>
    <t>Coin World (XYO)</t>
  </si>
  <si>
    <t>- Paid back dk THC hits</t>
  </si>
  <si>
    <t>School</t>
  </si>
  <si>
    <t>School: Fall 2022</t>
  </si>
  <si>
    <t>In-app Purchase</t>
  </si>
  <si>
    <t>XYO Sub</t>
  </si>
  <si>
    <t>PureVPN: Systems Limited</t>
  </si>
  <si>
    <t>Every 6 Months</t>
  </si>
  <si>
    <t>June</t>
  </si>
  <si>
    <t>November</t>
  </si>
  <si>
    <t>Canva</t>
  </si>
  <si>
    <t>Total Expenses</t>
  </si>
  <si>
    <t>Total from Work</t>
  </si>
  <si>
    <t>Total from Daw</t>
  </si>
  <si>
    <t>Total from Dad</t>
  </si>
  <si>
    <t>Extra</t>
  </si>
  <si>
    <t>July</t>
  </si>
  <si>
    <t>December</t>
  </si>
  <si>
    <t>August</t>
  </si>
  <si>
    <t>January</t>
  </si>
  <si>
    <t>September</t>
  </si>
  <si>
    <t>Feburuary</t>
  </si>
  <si>
    <t>October</t>
  </si>
  <si>
    <t>Sun</t>
  </si>
  <si>
    <t>Wawa</t>
  </si>
  <si>
    <t>Circle K</t>
  </si>
  <si>
    <t>Publix</t>
  </si>
  <si>
    <t>Walgreens</t>
  </si>
  <si>
    <t>- Flowers</t>
  </si>
  <si>
    <t>Trader Joe's</t>
  </si>
  <si>
    <t>- Thurs-Fri</t>
  </si>
  <si>
    <t>- Thurs - Sat</t>
  </si>
  <si>
    <t>- Will's bday Weekend</t>
  </si>
  <si>
    <t>- Not Accurate</t>
  </si>
  <si>
    <t>Week 1-3</t>
  </si>
  <si>
    <t>- Wed-Fri</t>
  </si>
  <si>
    <t>- Wed-Sat</t>
  </si>
  <si>
    <t>- Recorded</t>
  </si>
  <si>
    <t>- Sat</t>
  </si>
  <si>
    <t>- Thursday w/ Will</t>
  </si>
  <si>
    <t>Shogun</t>
  </si>
  <si>
    <t>- Virtual Date Night</t>
  </si>
  <si>
    <t>Airport (Snacks)</t>
  </si>
  <si>
    <t>- Trip</t>
  </si>
  <si>
    <t>Catalina Cafe</t>
  </si>
  <si>
    <t>Blue Moon</t>
  </si>
  <si>
    <t>Mexical</t>
  </si>
  <si>
    <t>Gordos</t>
  </si>
  <si>
    <t>The Crow (Fun)</t>
  </si>
  <si>
    <t>- Wingo</t>
  </si>
  <si>
    <t>Tin &amp; Lizzys</t>
  </si>
  <si>
    <t>Twisted Moose</t>
  </si>
  <si>
    <t>Love Child</t>
  </si>
  <si>
    <t>Chipotle</t>
  </si>
  <si>
    <t>Charmont</t>
  </si>
  <si>
    <t>Over Under Bar</t>
  </si>
  <si>
    <t>Mt. La Crosse</t>
  </si>
  <si>
    <t>Top Shots</t>
  </si>
  <si>
    <t>- Night Out</t>
  </si>
  <si>
    <t>Little Masa</t>
  </si>
  <si>
    <t>USPS</t>
  </si>
  <si>
    <t>- Delivery Valentines</t>
  </si>
  <si>
    <t>Bleu Duck</t>
  </si>
  <si>
    <t>Animal House</t>
  </si>
  <si>
    <t>4 Sisters Wine Bar</t>
  </si>
  <si>
    <t>Starbucks: Lindsey</t>
  </si>
  <si>
    <t>Liquor for Trip</t>
  </si>
  <si>
    <t>- Trip Expense</t>
  </si>
  <si>
    <t>Flight</t>
  </si>
  <si>
    <t>Mt. La Crosse Ski</t>
  </si>
  <si>
    <t>- Lesson Lindsey</t>
  </si>
  <si>
    <t>All Star Lanes</t>
  </si>
  <si>
    <t>- Lindsey &amp; Friends</t>
  </si>
  <si>
    <t>- Dad</t>
  </si>
  <si>
    <t>Elinor Flowers</t>
  </si>
  <si>
    <t>Flight for Feb 28th</t>
  </si>
  <si>
    <t>enotes</t>
  </si>
  <si>
    <t>Christmas Gifts</t>
  </si>
  <si>
    <t>- Florida Trip</t>
  </si>
  <si>
    <t>Skims (x6)</t>
  </si>
  <si>
    <t>Lonely Ghost (x1)</t>
  </si>
  <si>
    <t>Lonely Ghost (x2)</t>
  </si>
  <si>
    <t>Etsy (x2)</t>
  </si>
  <si>
    <t>Custom Man</t>
  </si>
  <si>
    <t>Sierra Gift (Venmo)</t>
  </si>
  <si>
    <t>- Venmo</t>
  </si>
  <si>
    <t>Dicks Sporting Goods (x3)</t>
  </si>
  <si>
    <t>- Mug, Can &amp; Stanley</t>
  </si>
  <si>
    <t>Target (x3)</t>
  </si>
  <si>
    <t>- Mug &amp; Candy</t>
  </si>
  <si>
    <t>TJ Maxx (x2)</t>
  </si>
  <si>
    <t>- Candles</t>
  </si>
  <si>
    <t>Barnes &amp; Noble (x1)</t>
  </si>
  <si>
    <t>- Exchange</t>
  </si>
  <si>
    <t>Target</t>
  </si>
  <si>
    <t>Enotes</t>
  </si>
  <si>
    <t>Dicks Sporting Goods</t>
  </si>
  <si>
    <t>- Pants and Stanley</t>
  </si>
  <si>
    <t>Skims (x2)</t>
  </si>
  <si>
    <t>- Socks</t>
  </si>
  <si>
    <t>Kwik Trip Gift Card</t>
  </si>
  <si>
    <t>PureVPN: Sysetems Limited</t>
  </si>
  <si>
    <t>Earnings off Interest (Coin)</t>
  </si>
  <si>
    <t>Earnings off Interest ($)</t>
  </si>
  <si>
    <t>Earnings off Land (Coin)</t>
  </si>
  <si>
    <t>Earnings off Land ($)</t>
  </si>
  <si>
    <t>June 2022 Expenses</t>
  </si>
  <si>
    <t>Flights</t>
  </si>
  <si>
    <t>July 2022 Expenses</t>
  </si>
  <si>
    <t xml:space="preserve">Bars </t>
  </si>
  <si>
    <t xml:space="preserve">Gifts </t>
  </si>
  <si>
    <t xml:space="preserve">Reg. Store </t>
  </si>
  <si>
    <t>August 2022 Expenses</t>
  </si>
  <si>
    <t>September 2022 Expenses</t>
  </si>
  <si>
    <t>October 2022 Expenses</t>
  </si>
  <si>
    <t>School Spring 2023</t>
  </si>
  <si>
    <t xml:space="preserve"> - Switched Salt Nic</t>
  </si>
  <si>
    <t>Medium</t>
  </si>
  <si>
    <t xml:space="preserve"> - Tests</t>
  </si>
  <si>
    <t>MSN Café</t>
  </si>
  <si>
    <t xml:space="preserve"> - Trip</t>
  </si>
  <si>
    <t xml:space="preserve">CNP Sycamore </t>
  </si>
  <si>
    <t>The Pallace Saloon</t>
  </si>
  <si>
    <t>Bullwinkles</t>
  </si>
  <si>
    <t>Poor Pauls</t>
  </si>
  <si>
    <t xml:space="preserve">Il Lusso </t>
  </si>
  <si>
    <t>Curb Caddy</t>
  </si>
  <si>
    <t>SQ Warhourse</t>
  </si>
  <si>
    <t>Maple Street Biscuit</t>
  </si>
  <si>
    <t>Farmers Market CLT</t>
  </si>
  <si>
    <t>The Crow</t>
  </si>
  <si>
    <t xml:space="preserve">Senior Villa </t>
  </si>
  <si>
    <t>March</t>
  </si>
  <si>
    <t>December 2022 Expenses</t>
  </si>
  <si>
    <t>January 2023 Expenses</t>
  </si>
  <si>
    <t>March 2023 Expenses</t>
  </si>
  <si>
    <t xml:space="preserve">January </t>
  </si>
  <si>
    <t xml:space="preserve">February </t>
  </si>
  <si>
    <t>April</t>
  </si>
  <si>
    <t>May</t>
  </si>
  <si>
    <t>Week 2: Rides</t>
  </si>
  <si>
    <t xml:space="preserve">Dad </t>
  </si>
  <si>
    <t>Estimate</t>
  </si>
  <si>
    <t>Mom</t>
  </si>
  <si>
    <t xml:space="preserve"> - For Trip &amp; Dog Poop</t>
  </si>
  <si>
    <t>Gas Station Food</t>
  </si>
  <si>
    <t>Reacuuring Investments</t>
  </si>
  <si>
    <t>Category</t>
  </si>
  <si>
    <t>June Expenses</t>
  </si>
  <si>
    <t>July Expenses</t>
  </si>
  <si>
    <t>Work Hours</t>
  </si>
  <si>
    <t>Month 1: June</t>
  </si>
  <si>
    <t>Work Dates: Daw</t>
  </si>
  <si>
    <t>Hours</t>
  </si>
  <si>
    <t>Wage Pay</t>
  </si>
  <si>
    <t>Daw Mowing</t>
  </si>
  <si>
    <t>$10 /hour</t>
  </si>
  <si>
    <t>$8.50 /hour</t>
  </si>
  <si>
    <t>Work Dates: The Crow</t>
  </si>
  <si>
    <t>Tips</t>
  </si>
  <si>
    <t>Tip Outs</t>
  </si>
  <si>
    <t>Avg Wage/Hour</t>
  </si>
  <si>
    <t>Week 43: 5/30 - 6/5</t>
  </si>
  <si>
    <t>- Mon 5/30</t>
  </si>
  <si>
    <t>- Wed 6/1</t>
  </si>
  <si>
    <t>- Thurs 6/2</t>
  </si>
  <si>
    <t>- Dishwashed+Tips</t>
  </si>
  <si>
    <t>Week 44: 6/6 - 6/12</t>
  </si>
  <si>
    <t>- Tues 6/7</t>
  </si>
  <si>
    <t>- Wed 6/8</t>
  </si>
  <si>
    <t>- Raise!! = $10/hour</t>
  </si>
  <si>
    <t>- Fri 6/10</t>
  </si>
  <si>
    <t>- Sun 6/12</t>
  </si>
  <si>
    <t>- Close Early, Meeting, Tip Out</t>
  </si>
  <si>
    <t>Week 45: 6/13 - 6/19 - Raise</t>
  </si>
  <si>
    <t>- Tues 6/14</t>
  </si>
  <si>
    <t>- Paid: Start of Raise only $9.50</t>
  </si>
  <si>
    <t>- Thurs 6/16</t>
  </si>
  <si>
    <t>- Fri 6/17</t>
  </si>
  <si>
    <t>- Sun 6/19</t>
  </si>
  <si>
    <t>Week 46: 6/20 - 6/26</t>
  </si>
  <si>
    <t>- Tues 6/21</t>
  </si>
  <si>
    <t>- Paid</t>
  </si>
  <si>
    <t>- Thurs 6/23</t>
  </si>
  <si>
    <t>- Fri 6/24</t>
  </si>
  <si>
    <t>Month 2: July</t>
  </si>
  <si>
    <t>- Not Paid</t>
  </si>
  <si>
    <t>Week 47: 6/27 - 7/3</t>
  </si>
  <si>
    <t>- Wed 6/29</t>
  </si>
  <si>
    <t>- Paid for (6/6 - 6/19)</t>
  </si>
  <si>
    <t>- Thur 6/30</t>
  </si>
  <si>
    <t>- Fri 7/1</t>
  </si>
  <si>
    <t>- Sun 7/3</t>
  </si>
  <si>
    <t>Tip out collected w/o Sun tip out</t>
  </si>
  <si>
    <t>Week 48: 7/4 - 7/10</t>
  </si>
  <si>
    <t>- Mon 7/4</t>
  </si>
  <si>
    <t>- 4th of July</t>
  </si>
  <si>
    <t>- Tues 7/5</t>
  </si>
  <si>
    <t>- Wed 7/6</t>
  </si>
  <si>
    <t>- Hours?</t>
  </si>
  <si>
    <t>- Thur 7/7</t>
  </si>
  <si>
    <t>- Fri 7/8</t>
  </si>
  <si>
    <t>- Sun 7/10</t>
  </si>
  <si>
    <t>Week 49: 7/11 - 7/17</t>
  </si>
  <si>
    <t>- Mon 7/11</t>
  </si>
  <si>
    <t>- Tues 7/12</t>
  </si>
  <si>
    <t>- Paid For (6/20 - 7/3)</t>
  </si>
  <si>
    <t>- Thur 7/14</t>
  </si>
  <si>
    <t>- Fri 7/15</t>
  </si>
  <si>
    <t>- Sun 7/17</t>
  </si>
  <si>
    <t>Week 50: 7/18 - 7/24</t>
  </si>
  <si>
    <t>- Mon 7/18</t>
  </si>
  <si>
    <t>- Moved to $15/hour - Dishwash</t>
  </si>
  <si>
    <t>- Wed 7/20</t>
  </si>
  <si>
    <t>- Thur 7/22</t>
  </si>
  <si>
    <t>- Sun 7/24</t>
  </si>
  <si>
    <t>- Tip Outs</t>
  </si>
  <si>
    <t>Week 51: 7/25 - 7/31</t>
  </si>
  <si>
    <t>- Mon 7/25</t>
  </si>
  <si>
    <t>- Tues 7/26</t>
  </si>
  <si>
    <t>- Paid For (7/4 - 7/17)</t>
  </si>
  <si>
    <t>- Thur 7/28</t>
  </si>
  <si>
    <t>- Fri 7/29</t>
  </si>
  <si>
    <t>- Sun 7/31</t>
  </si>
  <si>
    <t>Month 3: August</t>
  </si>
  <si>
    <t>Week 52: 8/1 - 7/7</t>
  </si>
  <si>
    <t>- Tues 8/2</t>
  </si>
  <si>
    <t>- Wed 8/3</t>
  </si>
  <si>
    <t>- Thur 8/4</t>
  </si>
  <si>
    <t>- Fri 8/5</t>
  </si>
  <si>
    <t>- Sun 7/7</t>
  </si>
  <si>
    <t>Week 53: 8/8 - 8/14</t>
  </si>
  <si>
    <t>- Mon 8/8</t>
  </si>
  <si>
    <t>- Tues 8/9</t>
  </si>
  <si>
    <t>- Paid For (7/18 - 7/31)</t>
  </si>
  <si>
    <t>- Wed 8/10</t>
  </si>
  <si>
    <t>Bartending Training Shift</t>
  </si>
  <si>
    <t>- Fri 8/12</t>
  </si>
  <si>
    <t>- Sat 8/13</t>
  </si>
  <si>
    <t>- Sun 7/14</t>
  </si>
  <si>
    <t>Week 54: 8/15 - 8/21</t>
  </si>
  <si>
    <t>- Tues 8/16</t>
  </si>
  <si>
    <t>- Wed 8/17</t>
  </si>
  <si>
    <t>Bartending Training Shift + Dish</t>
  </si>
  <si>
    <t>- Thurs 8/18</t>
  </si>
  <si>
    <t>- Fri 8/19</t>
  </si>
  <si>
    <t>- Sun 7/21</t>
  </si>
  <si>
    <t>- Tip Out</t>
  </si>
  <si>
    <t>Week 55: 8/22 - 8/28</t>
  </si>
  <si>
    <t>- Mon 8/22</t>
  </si>
  <si>
    <t>- Tues 8/23</t>
  </si>
  <si>
    <t>- Paid For (8/1 - 8/14)</t>
  </si>
  <si>
    <t>- Thurs 8/25</t>
  </si>
  <si>
    <t>- Fri 8/26</t>
  </si>
  <si>
    <t>- Sun 8/28</t>
  </si>
  <si>
    <t>Week 56: 8/29 - 9/4</t>
  </si>
  <si>
    <t>- Tue 8/30</t>
  </si>
  <si>
    <t>- Wed 8/31</t>
  </si>
  <si>
    <t>- Good Tip outs</t>
  </si>
  <si>
    <t>- Thur 9/1</t>
  </si>
  <si>
    <t>- Fri 9/2</t>
  </si>
  <si>
    <t>- Sun 9/4</t>
  </si>
  <si>
    <t>Overtime (Possibly)</t>
  </si>
  <si>
    <t>Week 57: 9/5 - 9/11</t>
  </si>
  <si>
    <t>- Mon 9/5</t>
  </si>
  <si>
    <t>- Zach tipped 40</t>
  </si>
  <si>
    <t>- Tues 9/6</t>
  </si>
  <si>
    <t>- Paid for (8/15 - 8/28)</t>
  </si>
  <si>
    <t>- Wed 9/7</t>
  </si>
  <si>
    <t>- Collected Tip out</t>
  </si>
  <si>
    <t>- Fri 9/9</t>
  </si>
  <si>
    <t>- Sun 9/11</t>
  </si>
  <si>
    <t>Week 58: 9/12 - 9/18</t>
  </si>
  <si>
    <t>- Mon 9/12</t>
  </si>
  <si>
    <t>- Wed 9/14</t>
  </si>
  <si>
    <t>- Fri 9/16</t>
  </si>
  <si>
    <t>-$6 Training</t>
  </si>
  <si>
    <t>- Sun 9/18</t>
  </si>
  <si>
    <t>Week 59: 9/19 - 9/25</t>
  </si>
  <si>
    <t>- Mon 9/19</t>
  </si>
  <si>
    <t>- Paid for (8/29 - 9/11)</t>
  </si>
  <si>
    <t>- Wed 9/21</t>
  </si>
  <si>
    <t>- Fri 9/23</t>
  </si>
  <si>
    <t>- Long night, busy, late night not</t>
  </si>
  <si>
    <t>- Sun 9/25</t>
  </si>
  <si>
    <t>^&gt; Plus Tip outs (~40-50). Meeting Sun</t>
  </si>
  <si>
    <t>Week 60: 9/26 - 10/2</t>
  </si>
  <si>
    <t>- Mon 9/26</t>
  </si>
  <si>
    <t>- Collected Tip Outs</t>
  </si>
  <si>
    <t>- Fri 9/30</t>
  </si>
  <si>
    <t>- Octoberfest</t>
  </si>
  <si>
    <t>- Sat 10/1</t>
  </si>
  <si>
    <t>Week 61: 10/3 - 10/9</t>
  </si>
  <si>
    <t>- Wed 10/5</t>
  </si>
  <si>
    <t>- Paid for (9/12 - 9/25)</t>
  </si>
  <si>
    <t>- Fri 10/7</t>
  </si>
  <si>
    <t>- Sun 9/9</t>
  </si>
  <si>
    <t>Week 62: 10/10 - 10/16</t>
  </si>
  <si>
    <t>- Mon 10/10</t>
  </si>
  <si>
    <t>Week 63: 10/17 - 10/23</t>
  </si>
  <si>
    <t>- Paid for (9/26 - 10/9)</t>
  </si>
  <si>
    <t>- Fri 10/21</t>
  </si>
  <si>
    <t>- Sun 10/23</t>
  </si>
  <si>
    <t>Week 64: 10/24 - 10/30</t>
  </si>
  <si>
    <t>- Fri 10/28</t>
  </si>
  <si>
    <t>- Sun 10/30</t>
  </si>
  <si>
    <t>Week 65: 10/31 - 11/6</t>
  </si>
  <si>
    <t>- Paid for (10/10 - 10/23)</t>
  </si>
  <si>
    <t>- Fri 11/4</t>
  </si>
  <si>
    <t>- Sun 11/6</t>
  </si>
  <si>
    <t>Week 66: 11/7 - 11/13</t>
  </si>
  <si>
    <t>- Tues 11/8</t>
  </si>
  <si>
    <t>- Fri 11/11</t>
  </si>
  <si>
    <t>- Sun 11/13</t>
  </si>
  <si>
    <t>Week 67: 11/14 - 11/20</t>
  </si>
  <si>
    <t>- Paid for (10/24 - 11/6)</t>
  </si>
  <si>
    <t>- Fri 11/14</t>
  </si>
  <si>
    <t>- Cut early</t>
  </si>
  <si>
    <t>- Sun 11/20</t>
  </si>
  <si>
    <t>Week 68: 11/21 - 11/27</t>
  </si>
  <si>
    <t>- Mon 11/21</t>
  </si>
  <si>
    <t>- Tues 11/22</t>
  </si>
  <si>
    <t>- Fri 11/25</t>
  </si>
  <si>
    <t>- Sun 11/27</t>
  </si>
  <si>
    <t>Week 69: 11/28 - 12/4</t>
  </si>
  <si>
    <t>- Paid for (11/7 - 11/20)</t>
  </si>
  <si>
    <t>- Mon 11/28</t>
  </si>
  <si>
    <t>- Fri 12/3</t>
  </si>
  <si>
    <t>- Sun 12/5</t>
  </si>
  <si>
    <t>Week 70: 12/5 - 12/11</t>
  </si>
  <si>
    <t>- Fri 12/9</t>
  </si>
  <si>
    <t>Week 71: 12/12 - 12/18</t>
  </si>
  <si>
    <t>- Paid for (11/21 - 12/4)</t>
  </si>
  <si>
    <t>- Fri 12/16</t>
  </si>
  <si>
    <t>Week 72: 12/19 - 12/25</t>
  </si>
  <si>
    <t>- No work this week</t>
  </si>
  <si>
    <t>Week 73: 12/26 - 12/1</t>
  </si>
  <si>
    <t>- Mon 12/26</t>
  </si>
  <si>
    <t>Week 74: 1/2 - 1/8</t>
  </si>
  <si>
    <t>Week 75: 1/9 - 1/15</t>
  </si>
  <si>
    <t>Week 76: 1/16 - 1/22</t>
  </si>
  <si>
    <t>- Sun 1/22</t>
  </si>
  <si>
    <t>Week 77: 1/22 - 1/29</t>
  </si>
  <si>
    <t>- Fri 1/27</t>
  </si>
  <si>
    <t>- Sun 1/29</t>
  </si>
  <si>
    <t>Week 78: 1/30 - 2/5</t>
  </si>
  <si>
    <t>- Wed 2/2</t>
  </si>
  <si>
    <t>- Trained -$10</t>
  </si>
  <si>
    <t>- Sun 2/5</t>
  </si>
  <si>
    <t>Week 79: 2/6 - 2/12</t>
  </si>
  <si>
    <t>- Fri 2/10</t>
  </si>
  <si>
    <t>- Trained -$10 &amp; Food -$10</t>
  </si>
  <si>
    <t>- Sat 2/11</t>
  </si>
  <si>
    <t>- Picked up</t>
  </si>
  <si>
    <t>- Sun 2/12</t>
  </si>
  <si>
    <t>Week 80: 2/13 - 2/19</t>
  </si>
  <si>
    <t>- Fri 2/17</t>
  </si>
  <si>
    <t>Week 81: 2/20 - 2/26</t>
  </si>
  <si>
    <t>- Sun 2/26</t>
  </si>
  <si>
    <t>Week 82: 2/27 - 3/5</t>
  </si>
  <si>
    <t>- Florida Trip: No Work</t>
  </si>
  <si>
    <t>Week 83: 3/6 - 3/12</t>
  </si>
  <si>
    <t>- Thurs 3/9</t>
  </si>
  <si>
    <t>- Sun 3/12</t>
  </si>
  <si>
    <t>Week 84: 3/13 - 3/19</t>
  </si>
  <si>
    <t>- Mon 3/13</t>
  </si>
  <si>
    <t>- Sun 3/19</t>
  </si>
  <si>
    <t xml:space="preserve"> - 6/8/2022</t>
  </si>
  <si>
    <t xml:space="preserve"> - Extra</t>
  </si>
  <si>
    <t xml:space="preserve"> - 7/12/2022</t>
  </si>
  <si>
    <t xml:space="preserve"> - Thurs 3/16</t>
  </si>
  <si>
    <t>Week 85: 3/20 - 3/26</t>
  </si>
  <si>
    <t xml:space="preserve"> - Tues 3/20</t>
  </si>
  <si>
    <t xml:space="preserve"> - Sun 3/26</t>
  </si>
  <si>
    <t>Week 86: 3/27 - 4/2</t>
  </si>
  <si>
    <t xml:space="preserve"> - TPs Last Night</t>
  </si>
  <si>
    <t>Month 1: March</t>
  </si>
  <si>
    <t xml:space="preserve">Work Dates: </t>
  </si>
  <si>
    <t>$14.00 /hour</t>
  </si>
  <si>
    <t xml:space="preserve"> - Mon 3/27</t>
  </si>
  <si>
    <t xml:space="preserve"> - Fri 3/31</t>
  </si>
  <si>
    <t xml:space="preserve">Total </t>
  </si>
  <si>
    <t>Month 2: April</t>
  </si>
  <si>
    <t>Week 1: 3/27 - 4/2</t>
  </si>
  <si>
    <t xml:space="preserve"> - Mon 4/3</t>
  </si>
  <si>
    <t>Week 2: 4/3 - 4/9</t>
  </si>
  <si>
    <t xml:space="preserve"> - No Work</t>
  </si>
  <si>
    <t xml:space="preserve"> - Tues 3/28</t>
  </si>
  <si>
    <t>Ethereum (ETH)</t>
  </si>
  <si>
    <t>Axie Infinity (Land)</t>
  </si>
  <si>
    <t>Main Crypto Coins</t>
  </si>
  <si>
    <t>Bitcoin (BTC)</t>
  </si>
  <si>
    <t>Binance Token (BNB)</t>
  </si>
  <si>
    <t>Cardano (ADA)</t>
  </si>
  <si>
    <t>Solana (SOL)</t>
  </si>
  <si>
    <t>Shiba Inu (SHIB)</t>
  </si>
  <si>
    <t>Dai Token (DAI)</t>
  </si>
  <si>
    <t>Cronos (CRO)</t>
  </si>
  <si>
    <t>Basic Attention Token (BAT)</t>
  </si>
  <si>
    <t>Coin Prices</t>
  </si>
  <si>
    <t>Decentraland (MANA)</t>
  </si>
  <si>
    <t>Theta Network (THETA)</t>
  </si>
  <si>
    <t>Axie Infinity (AXS)</t>
  </si>
  <si>
    <t>The Sandbox (SAND)</t>
  </si>
  <si>
    <t>Gala Games (GALA)</t>
  </si>
  <si>
    <t>League of Kingdoms (LOKA)</t>
  </si>
  <si>
    <t>Phantasma (SOUL)</t>
  </si>
  <si>
    <t>Town Star (TOWN)</t>
  </si>
  <si>
    <t>Materium (MTRM)</t>
  </si>
  <si>
    <t>Voxie Tactics (VOXEL)</t>
  </si>
  <si>
    <t>Geo Coin (XYO)</t>
  </si>
  <si>
    <t>Sperax (SPX)</t>
  </si>
  <si>
    <t>Pi Network (PI)</t>
  </si>
  <si>
    <t>Nodle Network (NODL)</t>
  </si>
  <si>
    <t>JumpToken (JMPT)</t>
  </si>
  <si>
    <t xml:space="preserve">Asset 1: Interest </t>
  </si>
  <si>
    <t>Staking: Interest Earned</t>
  </si>
  <si>
    <t>Week 87: 4/3- 4/9</t>
  </si>
  <si>
    <t>Week 88: 4/10 - 4/16</t>
  </si>
  <si>
    <t xml:space="preserve"> - Wed 4/12</t>
  </si>
  <si>
    <t xml:space="preserve"> - Fri 4/14</t>
  </si>
  <si>
    <t xml:space="preserve"> - Sun 4/16</t>
  </si>
  <si>
    <t>YMCA</t>
  </si>
  <si>
    <t>GNC</t>
  </si>
  <si>
    <t>Instacart</t>
  </si>
  <si>
    <t>Dels</t>
  </si>
  <si>
    <t xml:space="preserve"> - Cash ATM</t>
  </si>
  <si>
    <t>April 2023 Expenses</t>
  </si>
  <si>
    <t xml:space="preserve">New Beginnings </t>
  </si>
  <si>
    <t>Twited Moose</t>
  </si>
  <si>
    <t xml:space="preserve"> - Bar Night</t>
  </si>
  <si>
    <t>CourseHero</t>
  </si>
  <si>
    <t>Week 1-4:</t>
  </si>
  <si>
    <t>Chick Fil A</t>
  </si>
  <si>
    <t>Office Depot</t>
  </si>
  <si>
    <t>Pettibone BH</t>
  </si>
  <si>
    <t>Week 1-2:</t>
  </si>
  <si>
    <t xml:space="preserve"> - Estimate</t>
  </si>
  <si>
    <t>May 2023 Expenses</t>
  </si>
  <si>
    <t>Auguest</t>
  </si>
  <si>
    <t xml:space="preserve">October </t>
  </si>
  <si>
    <t xml:space="preserve">November </t>
  </si>
  <si>
    <t xml:space="preserve">December </t>
  </si>
  <si>
    <t>February</t>
  </si>
  <si>
    <t xml:space="preserve">March </t>
  </si>
  <si>
    <t xml:space="preserve">May </t>
  </si>
  <si>
    <t>Month 1: June 2022</t>
  </si>
  <si>
    <t>Month 2: July 2022</t>
  </si>
  <si>
    <t>Month 3: August 2022</t>
  </si>
  <si>
    <t>Month 4: September 2022</t>
  </si>
  <si>
    <t>Month 5: October 2022</t>
  </si>
  <si>
    <t>Month 6: November 2022</t>
  </si>
  <si>
    <t>Month 7: December 2022</t>
  </si>
  <si>
    <t>Month 8: Janruary 2023</t>
  </si>
  <si>
    <t>Month 9: February 2023</t>
  </si>
  <si>
    <t>Month 10: March 2023</t>
  </si>
  <si>
    <t xml:space="preserve">The Crow </t>
  </si>
  <si>
    <t xml:space="preserve">BNB </t>
  </si>
  <si>
    <t>NFT Assets</t>
  </si>
  <si>
    <t>Actual Future Return</t>
  </si>
  <si>
    <t>Week 89: 4/17 - 4/123</t>
  </si>
  <si>
    <t xml:space="preserve"> - Bartending (Starting up again)</t>
  </si>
  <si>
    <t xml:space="preserve"> - Picked up Tips on Wed of Next Week</t>
  </si>
  <si>
    <t xml:space="preserve"> - Wed 4/19</t>
  </si>
  <si>
    <t xml:space="preserve"> - Thurs 4/20</t>
  </si>
  <si>
    <t xml:space="preserve"> - Fri 4/21</t>
  </si>
  <si>
    <t xml:space="preserve"> - Sun 4/23</t>
  </si>
  <si>
    <t>Total Expenses (All)</t>
  </si>
  <si>
    <t xml:space="preserve"> - Training Night - $15</t>
  </si>
  <si>
    <t>Gross Income</t>
  </si>
  <si>
    <t>Estimated Earning Claims</t>
  </si>
  <si>
    <t xml:space="preserve"> - Thurs - Sat</t>
  </si>
  <si>
    <t>Week 90: 4/24 - 4/30</t>
  </si>
  <si>
    <t xml:space="preserve"> - Tues 4/25</t>
  </si>
  <si>
    <t xml:space="preserve"> - Wed 4/26</t>
  </si>
  <si>
    <t xml:space="preserve"> - Fri 4/28</t>
  </si>
  <si>
    <t xml:space="preserve"> - Training Night - $10</t>
  </si>
  <si>
    <t xml:space="preserve"> - Sat 4/29</t>
  </si>
  <si>
    <t xml:space="preserve"> - Paid for (12/5 -  - 12/18)</t>
  </si>
  <si>
    <t xml:space="preserve"> - Paid for (12/19 -  - 12/18)</t>
  </si>
  <si>
    <t>Week 91: 5/1 - 5/7</t>
  </si>
  <si>
    <t xml:space="preserve"> - Tues 5/2</t>
  </si>
  <si>
    <t xml:space="preserve"> - Thurs 5/4</t>
  </si>
  <si>
    <t xml:space="preserve"> - Fri 5/5</t>
  </si>
  <si>
    <t xml:space="preserve"> - Tip Outs </t>
  </si>
  <si>
    <t xml:space="preserve"> - Paid for (4/</t>
  </si>
  <si>
    <t>Week 92: 5/8 - 5/14</t>
  </si>
  <si>
    <t xml:space="preserve"> - Tues 5/9</t>
  </si>
  <si>
    <t xml:space="preserve"> - Fri 5/12</t>
  </si>
  <si>
    <t xml:space="preserve"> - Sun 5/14110</t>
  </si>
  <si>
    <t xml:space="preserve"> - Bars</t>
  </si>
  <si>
    <t>MyThemeShop</t>
  </si>
  <si>
    <t>Week 3-4:</t>
  </si>
  <si>
    <t xml:space="preserve"> - Thurs 5/18</t>
  </si>
  <si>
    <t xml:space="preserve"> - Sun 5/21</t>
  </si>
  <si>
    <t>Month 11: April 2023</t>
  </si>
  <si>
    <t>Month 12: May 2023</t>
  </si>
  <si>
    <t>Week 93: 5/15 - 5/21</t>
  </si>
  <si>
    <t>Week 94: 5/22 - 5/28</t>
  </si>
  <si>
    <t xml:space="preserve"> - Tues 5/23</t>
  </si>
  <si>
    <t xml:space="preserve"> - Fri 5/26</t>
  </si>
  <si>
    <t xml:space="preserve"> - Sat 5/27</t>
  </si>
  <si>
    <t xml:space="preserve"> - Sun 5/28</t>
  </si>
  <si>
    <t xml:space="preserve"> - Not Paid</t>
  </si>
  <si>
    <t xml:space="preserve"> - Lv15 Reached 5/30/23</t>
  </si>
  <si>
    <t xml:space="preserve"> - Mon 5/29</t>
  </si>
  <si>
    <t xml:space="preserve"> - Tues 5/30</t>
  </si>
  <si>
    <t xml:space="preserve"> - Double</t>
  </si>
  <si>
    <t>Month 1: June 2023</t>
  </si>
  <si>
    <t>2022-23</t>
  </si>
  <si>
    <t>2023-24</t>
  </si>
  <si>
    <t xml:space="preserve"> - Sun 6/4</t>
  </si>
  <si>
    <t xml:space="preserve"> - Fri 6/2</t>
  </si>
  <si>
    <t xml:space="preserve"> - Wed 5/31</t>
  </si>
  <si>
    <t xml:space="preserve"> - Wed 6/7</t>
  </si>
  <si>
    <t xml:space="preserve"> - Thurs 6/8</t>
  </si>
  <si>
    <t xml:space="preserve"> - Fri 6/9</t>
  </si>
  <si>
    <t xml:space="preserve"> - Sun 6/11</t>
  </si>
  <si>
    <t>State Room</t>
  </si>
  <si>
    <t>Ace Hardware</t>
  </si>
  <si>
    <t xml:space="preserve">Culvers </t>
  </si>
  <si>
    <t>Apothic Eatery</t>
  </si>
  <si>
    <t>Stasn</t>
  </si>
  <si>
    <t xml:space="preserve">Dels </t>
  </si>
  <si>
    <t xml:space="preserve">McDonalds </t>
  </si>
  <si>
    <t>Distilling Co.</t>
  </si>
  <si>
    <t>Etsy</t>
  </si>
  <si>
    <t>Waterfront</t>
  </si>
  <si>
    <t xml:space="preserve">Charmont </t>
  </si>
  <si>
    <t>Double Barrel Tomah</t>
  </si>
  <si>
    <t>Java Vino</t>
  </si>
  <si>
    <t>Pettibone Boat Club</t>
  </si>
  <si>
    <t>Pine Creek Golf Course</t>
  </si>
  <si>
    <t>New Beginnings</t>
  </si>
  <si>
    <t>Venmo: Lindsey</t>
  </si>
  <si>
    <t>Scooters Coffee</t>
  </si>
  <si>
    <t>Week 95: 5/29 - 6/4</t>
  </si>
  <si>
    <t>Week 96: 6/5 - 6/11</t>
  </si>
  <si>
    <t>Week 97: 6/12 - 6/18</t>
  </si>
  <si>
    <t>June 2023 Expenses</t>
  </si>
  <si>
    <t xml:space="preserve">Starbucks </t>
  </si>
  <si>
    <t>Moxies</t>
  </si>
  <si>
    <t xml:space="preserve">Buzzard Billys </t>
  </si>
  <si>
    <t>Eagles Nest</t>
  </si>
  <si>
    <t>Restore Public House</t>
  </si>
  <si>
    <t>July 2023 Expenses</t>
  </si>
  <si>
    <t>August 2023 Expenses</t>
  </si>
  <si>
    <t>September 2023 Expenses</t>
  </si>
  <si>
    <t>October 2023 Expenses</t>
  </si>
  <si>
    <t>Nobember 2023 Expenses</t>
  </si>
  <si>
    <t>December 2023 Expenses</t>
  </si>
  <si>
    <t>February 2023 Expenses</t>
  </si>
  <si>
    <t>Nobember 2022 Expenses</t>
  </si>
  <si>
    <t>January 2024 Expenses</t>
  </si>
  <si>
    <t>February 2024 Expenses</t>
  </si>
  <si>
    <t>March 2024 Expenses</t>
  </si>
  <si>
    <t>April 2024 Expenses</t>
  </si>
  <si>
    <t>May 2024 Expenses</t>
  </si>
  <si>
    <t>Ant Legion</t>
  </si>
  <si>
    <t xml:space="preserve"> - Sun 6/8</t>
  </si>
  <si>
    <t xml:space="preserve"> - Meeting </t>
  </si>
  <si>
    <t>Week 98: 6/19 - 6/25</t>
  </si>
  <si>
    <t xml:space="preserve"> - Wed 6/14</t>
  </si>
  <si>
    <t xml:space="preserve"> - Thurs 6/15</t>
  </si>
  <si>
    <t xml:space="preserve"> - Fri 6/16</t>
  </si>
  <si>
    <t xml:space="preserve"> - Sun 6/18</t>
  </si>
  <si>
    <t xml:space="preserve"> - Wed 6/22</t>
  </si>
  <si>
    <t xml:space="preserve"> - Thurs 6/23</t>
  </si>
  <si>
    <t xml:space="preserve"> - Mon 6/26</t>
  </si>
  <si>
    <t xml:space="preserve"> - Thurs 6/29</t>
  </si>
  <si>
    <t xml:space="preserve"> - Fri 6/30</t>
  </si>
  <si>
    <t xml:space="preserve"> - Sun 7/2</t>
  </si>
  <si>
    <t>Week 99: 6/26 - 7/2</t>
  </si>
  <si>
    <t xml:space="preserve"> - Paid</t>
  </si>
  <si>
    <t xml:space="preserve">Tip Out </t>
  </si>
  <si>
    <t xml:space="preserve"> - 4th of July, Morning shift</t>
  </si>
  <si>
    <t>Week 100: 7/3 - 7/9</t>
  </si>
  <si>
    <t>Month 2: July 2023</t>
  </si>
  <si>
    <t>Yearly Total</t>
  </si>
  <si>
    <t>Festival Foods</t>
  </si>
  <si>
    <t xml:space="preserve">Kickapoo: Kayaking </t>
  </si>
  <si>
    <t>Chick Fil A App</t>
  </si>
  <si>
    <t>Reacurring Expenses</t>
  </si>
  <si>
    <t>Course Hero</t>
  </si>
  <si>
    <t>Tswift: Drinks</t>
  </si>
  <si>
    <t>GeoCoin: XYO</t>
  </si>
  <si>
    <t>Prescott Roadhouse</t>
  </si>
  <si>
    <t>Pato Azla</t>
  </si>
  <si>
    <t xml:space="preserve"> - Collected Tip Outs</t>
  </si>
  <si>
    <t xml:space="preserve"> - Thurs 7/10</t>
  </si>
  <si>
    <t xml:space="preserve"> - Sun 7/16</t>
  </si>
  <si>
    <t>Tuition: Summer</t>
  </si>
  <si>
    <t>Forest Hills Golf Course</t>
  </si>
  <si>
    <t xml:space="preserve">4 Sisters  </t>
  </si>
  <si>
    <t xml:space="preserve"> - Lv15 Reached 6/20/23</t>
  </si>
  <si>
    <t xml:space="preserve"> - Mon 7/3</t>
  </si>
  <si>
    <t xml:space="preserve"> - Tues 7/4</t>
  </si>
  <si>
    <t xml:space="preserve"> - Wed 7/5</t>
  </si>
  <si>
    <t xml:space="preserve"> - Sun 7/9</t>
  </si>
  <si>
    <t>Month 3: August 2023</t>
  </si>
  <si>
    <t>Column1</t>
  </si>
  <si>
    <t xml:space="preserve"> - Trainee Tonight </t>
  </si>
  <si>
    <t xml:space="preserve"> - Bar Lead coming soon!</t>
  </si>
  <si>
    <t xml:space="preserve">Devils Lake </t>
  </si>
  <si>
    <t xml:space="preserve">Pato Azla </t>
  </si>
  <si>
    <t xml:space="preserve"> - Sierra Gas Money</t>
  </si>
  <si>
    <t>PDQ Jax</t>
  </si>
  <si>
    <t xml:space="preserve">V Pizza </t>
  </si>
  <si>
    <t xml:space="preserve">MSP Surdyk's </t>
  </si>
  <si>
    <t>Surfer The Bar</t>
  </si>
  <si>
    <t xml:space="preserve">What A Burger </t>
  </si>
  <si>
    <t xml:space="preserve">Hawkers Asian </t>
  </si>
  <si>
    <t>District Market</t>
  </si>
  <si>
    <t>Southwest: JAX</t>
  </si>
  <si>
    <t xml:space="preserve">Delta: Miami </t>
  </si>
  <si>
    <t xml:space="preserve"> - Paid Back </t>
  </si>
  <si>
    <t>Swagbucks</t>
  </si>
  <si>
    <t xml:space="preserve"> - Officially Bar Lead!!</t>
  </si>
  <si>
    <t xml:space="preserve"> - Week Off</t>
  </si>
  <si>
    <t xml:space="preserve"> - Wed 7/19</t>
  </si>
  <si>
    <t xml:space="preserve"> - Thurs 7/20</t>
  </si>
  <si>
    <t xml:space="preserve"> - Mon 7/31</t>
  </si>
  <si>
    <t xml:space="preserve"> - Tues 8/1</t>
  </si>
  <si>
    <t xml:space="preserve"> - Wed 8/2</t>
  </si>
  <si>
    <t xml:space="preserve"> - Mon 8/7</t>
  </si>
  <si>
    <t xml:space="preserve"> - Tues 8/8</t>
  </si>
  <si>
    <t xml:space="preserve"> - Wed 8/9</t>
  </si>
  <si>
    <t xml:space="preserve"> - Sun 8/13</t>
  </si>
  <si>
    <t xml:space="preserve"> - Tues 8/15</t>
  </si>
  <si>
    <t xml:space="preserve"> - Wed 8/16</t>
  </si>
  <si>
    <t xml:space="preserve"> - Thurs 8/17</t>
  </si>
  <si>
    <t>Month 4: September 2023</t>
  </si>
  <si>
    <t>Week 101: 7/10 - 7/16</t>
  </si>
  <si>
    <t>Week 102: 7/17 - 7/23</t>
  </si>
  <si>
    <t>Week 103: 7/24 - 7/30</t>
  </si>
  <si>
    <t>Week 104: 7/31 - 8/6</t>
  </si>
  <si>
    <t>Week 105: 8/7 - 8/13</t>
  </si>
  <si>
    <t>Week 106: 8/14 - 8/20</t>
  </si>
  <si>
    <t>Week 107: 8/21 - 8/27</t>
  </si>
  <si>
    <t>Week 108: 8/28 - 9/3</t>
  </si>
  <si>
    <t>Week 109: 9/4 - 9/10</t>
  </si>
  <si>
    <t xml:space="preserve"> - Sun 8/20</t>
  </si>
  <si>
    <t xml:space="preserve"> - Mon 8/28</t>
  </si>
  <si>
    <t xml:space="preserve"> - Tues 8/29</t>
  </si>
  <si>
    <t xml:space="preserve"> - Wed 8/30</t>
  </si>
  <si>
    <t xml:space="preserve"> - Thurs 8/31</t>
  </si>
  <si>
    <t xml:space="preserve"> - Fri 9/1</t>
  </si>
  <si>
    <t xml:space="preserve"> - Sun 9/3</t>
  </si>
  <si>
    <t xml:space="preserve"> - Mon 9/4</t>
  </si>
  <si>
    <t xml:space="preserve"> - Tues 9/5</t>
  </si>
  <si>
    <t xml:space="preserve"> - Sat 9/9</t>
  </si>
  <si>
    <t xml:space="preserve"> - Sun 9/10</t>
  </si>
  <si>
    <t xml:space="preserve"> - Overtime</t>
  </si>
  <si>
    <t xml:space="preserve"> - Sat 9/2</t>
  </si>
  <si>
    <t xml:space="preserve"> - Wed 9/6</t>
  </si>
  <si>
    <t>Week 110: 9/11 - 9/17</t>
  </si>
  <si>
    <t xml:space="preserve"> - Wedding Week </t>
  </si>
  <si>
    <t xml:space="preserve"> - Dishwasher Raise @16.50, Paid</t>
  </si>
  <si>
    <t xml:space="preserve"> - Propane Exchange</t>
  </si>
  <si>
    <t>PacketStream</t>
  </si>
  <si>
    <t xml:space="preserve">IAT Paypal: GZ </t>
  </si>
  <si>
    <t xml:space="preserve"> - Mess up &amp; New Vape</t>
  </si>
  <si>
    <t xml:space="preserve"> - Mom </t>
  </si>
  <si>
    <t xml:space="preserve"> - After Miami trip help</t>
  </si>
  <si>
    <t xml:space="preserve"> - Grandpa: Cousin Gift</t>
  </si>
  <si>
    <t xml:space="preserve">Kwik Trip </t>
  </si>
  <si>
    <t>The Charmont</t>
  </si>
  <si>
    <t>La Crosse Queen Cruise</t>
  </si>
  <si>
    <t>360 Training</t>
  </si>
  <si>
    <t xml:space="preserve"> - Bar License</t>
  </si>
  <si>
    <t>Goodwill</t>
  </si>
  <si>
    <t xml:space="preserve"> - For Trip </t>
  </si>
  <si>
    <t xml:space="preserve">CVS </t>
  </si>
  <si>
    <t>I love Liquor Miami</t>
  </si>
  <si>
    <t>Rick Ross Tickets: LIV</t>
  </si>
  <si>
    <t xml:space="preserve">Uber </t>
  </si>
  <si>
    <t xml:space="preserve">El Cristo Restaurant </t>
  </si>
  <si>
    <t xml:space="preserve">Pura Vida </t>
  </si>
  <si>
    <t>TST Cocktails at Lmiami</t>
  </si>
  <si>
    <t>LIV DJ Tickets: LIV</t>
  </si>
  <si>
    <t xml:space="preserve"> - Mon 9/18</t>
  </si>
  <si>
    <t xml:space="preserve"> - Tues 9/20</t>
  </si>
  <si>
    <t xml:space="preserve"> - Thurs 9/21</t>
  </si>
  <si>
    <t xml:space="preserve"> - Sat 9/23</t>
  </si>
  <si>
    <t xml:space="preserve"> - Sun 9/24</t>
  </si>
  <si>
    <t>Week 111: 9/18 - 9/24</t>
  </si>
  <si>
    <t>Week 112: 9/25 - 10/1</t>
  </si>
  <si>
    <t xml:space="preserve"> - Gave $10 to Chase </t>
  </si>
  <si>
    <t xml:space="preserve"> - Mon 9/25</t>
  </si>
  <si>
    <t xml:space="preserve"> - Wed 9/27</t>
  </si>
  <si>
    <t xml:space="preserve"> - Thurs 9/28</t>
  </si>
  <si>
    <t xml:space="preserve"> - Sat 9/30</t>
  </si>
  <si>
    <t xml:space="preserve"> - OCTOBER FEST WEEKEND</t>
  </si>
  <si>
    <t xml:space="preserve"> - Fri 9/29 Morning</t>
  </si>
  <si>
    <t xml:space="preserve"> - Fri 9/29 Night</t>
  </si>
  <si>
    <t xml:space="preserve"> - Octoberfest Cleanup</t>
  </si>
  <si>
    <t>Month 5: October 2023</t>
  </si>
  <si>
    <t>Week 113: 10/2 - 10/8</t>
  </si>
  <si>
    <t xml:space="preserve"> - Sat 10/7</t>
  </si>
  <si>
    <t xml:space="preserve"> - Mon 10/2</t>
  </si>
  <si>
    <t xml:space="preserve"> - Wed 10/4</t>
  </si>
  <si>
    <t>Week 114: 10/9 - 10/15</t>
  </si>
  <si>
    <t xml:space="preserve"> - Mon 10/9</t>
  </si>
  <si>
    <t xml:space="preserve"> - Wed 10/11</t>
  </si>
  <si>
    <t xml:space="preserve"> - Thurs 10/12</t>
  </si>
  <si>
    <t xml:space="preserve"> - Fri 10/13</t>
  </si>
  <si>
    <t xml:space="preserve"> - Sat 10/14</t>
  </si>
  <si>
    <t xml:space="preserve"> - Trip, Paid 105</t>
  </si>
  <si>
    <t>Cortadito Coffee Miami</t>
  </si>
  <si>
    <t>LIV Miami Beach: Drinks</t>
  </si>
  <si>
    <t xml:space="preserve"> - Trip, Clothes for Club</t>
  </si>
  <si>
    <t>ZARA Miami: Clothes</t>
  </si>
  <si>
    <t xml:space="preserve"> - Gave $15 to Trainee</t>
  </si>
  <si>
    <t xml:space="preserve"> - Lv</t>
  </si>
  <si>
    <t xml:space="preserve"> - Lv3 </t>
  </si>
  <si>
    <t>Puzzles &amp; Conquest: SB</t>
  </si>
  <si>
    <t>Empires &amp; Puzzles: SB</t>
  </si>
  <si>
    <t>The Eat Repeat: SB</t>
  </si>
  <si>
    <t>Last Paid Date</t>
  </si>
  <si>
    <t>Week 115: 10/16 - 10/22</t>
  </si>
  <si>
    <t xml:space="preserve"> - Mon 10/16</t>
  </si>
  <si>
    <t xml:space="preserve"> - Wed 10/18</t>
  </si>
  <si>
    <t xml:space="preserve"> - Thurs 10/19</t>
  </si>
  <si>
    <t xml:space="preserve">Catalina Hotel </t>
  </si>
  <si>
    <t>Newsconnections</t>
  </si>
  <si>
    <t xml:space="preserve"> - Other </t>
  </si>
  <si>
    <t>Miami Hotel</t>
  </si>
  <si>
    <t xml:space="preserve">Walmart </t>
  </si>
  <si>
    <t>Harvard Bus. Edu. Cases</t>
  </si>
  <si>
    <t>GoVenture</t>
  </si>
  <si>
    <t>9/31/2023</t>
  </si>
  <si>
    <t>Allstar Lanes: Bowling</t>
  </si>
  <si>
    <t xml:space="preserve">DoorDash </t>
  </si>
  <si>
    <t xml:space="preserve"> - Lindsey Ugh</t>
  </si>
  <si>
    <t>Tobacco Outlet: KT</t>
  </si>
  <si>
    <t>App Offers</t>
  </si>
  <si>
    <t xml:space="preserve"> - Wed 10/25</t>
  </si>
  <si>
    <t xml:space="preserve"> - Gave $10 to Trainee</t>
  </si>
  <si>
    <t>Month 6: November 2023</t>
  </si>
  <si>
    <t>Data Claims</t>
  </si>
  <si>
    <t>Interest Earned Claims</t>
  </si>
  <si>
    <t>Land Claims</t>
  </si>
  <si>
    <t>11/1/2023: Start</t>
  </si>
  <si>
    <t>Fluid Starter: 2.1%</t>
  </si>
  <si>
    <t>Todays Amount (Coin)</t>
  </si>
  <si>
    <t>SOL</t>
  </si>
  <si>
    <t>Ticker</t>
  </si>
  <si>
    <t>SHIB</t>
  </si>
  <si>
    <t>PRICE</t>
  </si>
  <si>
    <t>MANA</t>
  </si>
  <si>
    <t>THETA</t>
  </si>
  <si>
    <t>SAND</t>
  </si>
  <si>
    <t>MTRM</t>
  </si>
  <si>
    <t>PI</t>
  </si>
  <si>
    <t xml:space="preserve"> - +5 extra hours clocked in</t>
  </si>
  <si>
    <t>Week 116: 10/23 - 10/29</t>
  </si>
  <si>
    <t xml:space="preserve"> - Sat 10/21</t>
  </si>
  <si>
    <t xml:space="preserve"> - Thurs 10/26</t>
  </si>
  <si>
    <t xml:space="preserve"> - Sat 10/28</t>
  </si>
  <si>
    <t xml:space="preserve"> - Thurs 11/2</t>
  </si>
  <si>
    <t xml:space="preserve"> - Wed 11/1</t>
  </si>
  <si>
    <t xml:space="preserve"> - Fri 11/3</t>
  </si>
  <si>
    <t xml:space="preserve"> - Sat 11/4</t>
  </si>
  <si>
    <t>Week 117: 10/30 - 11/5</t>
  </si>
  <si>
    <t>Week 118: 11/6 - 11/12</t>
  </si>
  <si>
    <t xml:space="preserve"> - Mon 11/7</t>
  </si>
  <si>
    <t xml:space="preserve"> - Wed 11/9</t>
  </si>
  <si>
    <t xml:space="preserve"> - Thurs 11/10</t>
  </si>
  <si>
    <t xml:space="preserve"> - Fri 11/11</t>
  </si>
  <si>
    <t xml:space="preserve"> - Sat 11/12</t>
  </si>
  <si>
    <t xml:space="preserve"> - Thurs 11/16</t>
  </si>
  <si>
    <t xml:space="preserve"> - Fri 11/17</t>
  </si>
  <si>
    <t xml:space="preserve"> - Sat 11/18</t>
  </si>
  <si>
    <t>Week 119: 11/13 - 11/19</t>
  </si>
  <si>
    <t xml:space="preserve"> - Wed 11/22</t>
  </si>
  <si>
    <t xml:space="preserve"> - Fri 11/24</t>
  </si>
  <si>
    <t xml:space="preserve"> - Sat 11/25</t>
  </si>
  <si>
    <t xml:space="preserve"> - Sun 11/26</t>
  </si>
  <si>
    <t>Other</t>
  </si>
  <si>
    <t xml:space="preserve"> - Mon 11/27</t>
  </si>
  <si>
    <t xml:space="preserve"> - Wed 11/29</t>
  </si>
  <si>
    <t xml:space="preserve"> - Fri 12/1</t>
  </si>
  <si>
    <t xml:space="preserve"> - Sun 12/3</t>
  </si>
  <si>
    <t>Month 7: December 2023</t>
  </si>
  <si>
    <t>Week 120: 11/20 - 11/26</t>
  </si>
  <si>
    <t xml:space="preserve"> - Mon 12/11</t>
  </si>
  <si>
    <t xml:space="preserve"> - Wed 12/13</t>
  </si>
  <si>
    <t xml:space="preserve"> - Fri 12/15</t>
  </si>
  <si>
    <t>Gaming Crypto Coins</t>
  </si>
  <si>
    <t>Miner Crypto Coins</t>
  </si>
  <si>
    <t xml:space="preserve">AliceDreamland </t>
  </si>
  <si>
    <t>Amount Spent ($)</t>
  </si>
  <si>
    <t>Sweat Wallet</t>
  </si>
  <si>
    <t>Week 121: 11/27 - 12/3</t>
  </si>
  <si>
    <t xml:space="preserve"> - Thurs 12/21</t>
  </si>
  <si>
    <t xml:space="preserve"> - Sat 12/23</t>
  </si>
  <si>
    <t>Graduation Gift Total</t>
  </si>
  <si>
    <t>Christmas Gift: Mom/Dad</t>
  </si>
  <si>
    <t>Telluride AirBnb</t>
  </si>
  <si>
    <t>Telluride Epic Pass</t>
  </si>
  <si>
    <t>Etherium Network</t>
  </si>
  <si>
    <t>Current: 12/26/23</t>
  </si>
  <si>
    <t xml:space="preserve"> - Gave $5 to Eli for help</t>
  </si>
  <si>
    <t>Folder</t>
  </si>
  <si>
    <t>SWEAT</t>
  </si>
  <si>
    <t>Week 122: 12/4 - 12/10</t>
  </si>
  <si>
    <t xml:space="preserve"> - Barback</t>
  </si>
  <si>
    <t xml:space="preserve"> - Barback, Collect big Tip Out</t>
  </si>
  <si>
    <t>Month 8: January 2024</t>
  </si>
  <si>
    <t xml:space="preserve"> - Wed 12/27</t>
  </si>
  <si>
    <t xml:space="preserve"> - Thurs 12/28</t>
  </si>
  <si>
    <t xml:space="preserve"> - Fri 12/29</t>
  </si>
  <si>
    <t>Week 123: 12/11 - 12/17</t>
  </si>
  <si>
    <t>Week 124: 12/18 - 12/24</t>
  </si>
  <si>
    <t>Week 125: 12/25 - 12/31</t>
  </si>
  <si>
    <t>Dragonscapes</t>
  </si>
  <si>
    <t xml:space="preserve"> - Tues 1/30</t>
  </si>
  <si>
    <t xml:space="preserve"> - Mon 1/29</t>
  </si>
  <si>
    <t>Week 126: 1/1 - 1/7</t>
  </si>
  <si>
    <t>Week 127: 1/8 - 1/14</t>
  </si>
  <si>
    <t>Week 128: 1/15 - 1/21</t>
  </si>
  <si>
    <t>Week 129: 1/22 - 1/28</t>
  </si>
  <si>
    <t xml:space="preserve"> - Mon 1/1</t>
  </si>
  <si>
    <t xml:space="preserve"> - Wed 1/3</t>
  </si>
  <si>
    <t xml:space="preserve"> - Fri 1/5</t>
  </si>
  <si>
    <t xml:space="preserve"> - Sat 1/6</t>
  </si>
  <si>
    <t xml:space="preserve"> - Tues 1/9</t>
  </si>
  <si>
    <t xml:space="preserve"> - Fri 1/12</t>
  </si>
  <si>
    <t xml:space="preserve"> - Fri 1/19</t>
  </si>
  <si>
    <t xml:space="preserve"> - Sat 1/20</t>
  </si>
  <si>
    <t xml:space="preserve"> - Sun 1/21</t>
  </si>
  <si>
    <t xml:space="preserve"> - Tues 1/23</t>
  </si>
  <si>
    <t xml:space="preserve"> - Fri 1/26</t>
  </si>
  <si>
    <t xml:space="preserve"> - Sun 1/28</t>
  </si>
  <si>
    <t>Month 9: February 2024</t>
  </si>
  <si>
    <t>Week 130: 1/29 - 2/4</t>
  </si>
  <si>
    <t>Week 131: 2/5 - 2/11</t>
  </si>
  <si>
    <t xml:space="preserve"> - Leave for Vacation this week</t>
  </si>
  <si>
    <t xml:space="preserve"> - Tues 2/13</t>
  </si>
  <si>
    <t xml:space="preserve"> - Fri 2/16</t>
  </si>
  <si>
    <t xml:space="preserve"> - Sun 2/18</t>
  </si>
  <si>
    <t>Week 132: 2/12 - 2/18</t>
  </si>
  <si>
    <t>Week 133: 2/19 - 2/25</t>
  </si>
  <si>
    <t xml:space="preserve"> - Mon 2/19</t>
  </si>
  <si>
    <t xml:space="preserve"> - Wed 2/21</t>
  </si>
  <si>
    <t xml:space="preserve"> - Fri 2/23</t>
  </si>
  <si>
    <t xml:space="preserve"> - Sat 2/24</t>
  </si>
  <si>
    <t xml:space="preserve">    - Raise $7.25</t>
  </si>
  <si>
    <t xml:space="preserve"> - Double </t>
  </si>
  <si>
    <t xml:space="preserve"> - Mon 2/26</t>
  </si>
  <si>
    <t>Politos Pizza</t>
  </si>
  <si>
    <t>Frontier: Telluride, CO</t>
  </si>
  <si>
    <t>Brothers</t>
  </si>
  <si>
    <t>Grounded Coffee</t>
  </si>
  <si>
    <t>Bookstore</t>
  </si>
  <si>
    <t>Numerade</t>
  </si>
  <si>
    <t xml:space="preserve"> - Earnings Stopped</t>
  </si>
  <si>
    <t xml:space="preserve"> - Sat 3/2</t>
  </si>
  <si>
    <t xml:space="preserve"> - Fri 3/1</t>
  </si>
  <si>
    <t xml:space="preserve"> - Thurs 3/29</t>
  </si>
  <si>
    <t xml:space="preserve"> - Barback (Help JJ)</t>
  </si>
  <si>
    <t xml:space="preserve"> - Mon 3/4</t>
  </si>
  <si>
    <t xml:space="preserve"> - Fri 3/8</t>
  </si>
  <si>
    <t xml:space="preserve"> - Sat 3/9</t>
  </si>
  <si>
    <t>Month 10: March 2024</t>
  </si>
  <si>
    <t xml:space="preserve"> - Tues 3/19</t>
  </si>
  <si>
    <t xml:space="preserve"> - Wed 3/20</t>
  </si>
  <si>
    <t xml:space="preserve"> - Tues 3/26</t>
  </si>
  <si>
    <t xml:space="preserve"> - Wed 3/27</t>
  </si>
  <si>
    <t xml:space="preserve"> - Mon 3/11</t>
  </si>
  <si>
    <t xml:space="preserve"> - Wed 3/13</t>
  </si>
  <si>
    <t xml:space="preserve"> - Thurs 3/14</t>
  </si>
  <si>
    <t xml:space="preserve"> - Fri 3/15</t>
  </si>
  <si>
    <t xml:space="preserve"> - Sat 3/16</t>
  </si>
  <si>
    <t xml:space="preserve"> - Mon 3/18</t>
  </si>
  <si>
    <t xml:space="preserve"> - Sun 3/24</t>
  </si>
  <si>
    <t xml:space="preserve"> - Fri 3/29</t>
  </si>
  <si>
    <t xml:space="preserve"> - Sat 3/30</t>
  </si>
  <si>
    <t>Week 134: 2/26 - 3/3</t>
  </si>
  <si>
    <t>Week 135: 3/4 - 3/10</t>
  </si>
  <si>
    <t>Week 136: 3/11 - 3/17</t>
  </si>
  <si>
    <t>Week 137: 3/18 - 3/24</t>
  </si>
  <si>
    <t>Week 138: 3/25 - 3/31</t>
  </si>
  <si>
    <t xml:space="preserve"> - Fri 4/5</t>
  </si>
  <si>
    <t xml:space="preserve"> - Mon 4/1</t>
  </si>
  <si>
    <t xml:space="preserve"> - Sun 4/7</t>
  </si>
  <si>
    <t>Month 11: April 2024</t>
  </si>
  <si>
    <t xml:space="preserve"> - Tues 4/9</t>
  </si>
  <si>
    <t xml:space="preserve"> - Wed 4/10</t>
  </si>
  <si>
    <t xml:space="preserve"> - Fri 4/12</t>
  </si>
  <si>
    <t xml:space="preserve"> - Tues 4/16</t>
  </si>
  <si>
    <t xml:space="preserve"> - Wed 4/17</t>
  </si>
  <si>
    <t xml:space="preserve"> - Fri 4/19</t>
  </si>
  <si>
    <t>Week 139: 4/1 - 4/7</t>
  </si>
  <si>
    <t>Week 140: 4/8 - 4/14</t>
  </si>
  <si>
    <t xml:space="preserve"> - Sat 4/13</t>
  </si>
  <si>
    <t xml:space="preserve"> - Sat 4/20</t>
  </si>
  <si>
    <t xml:space="preserve"> - Sun 4/21</t>
  </si>
  <si>
    <t>Week 141: 4/15 - 4/21</t>
  </si>
  <si>
    <t>Week 142: 4/22 - 4/28</t>
  </si>
  <si>
    <t xml:space="preserve"> - Tues 4/23</t>
  </si>
  <si>
    <t xml:space="preserve"> - Fri 4/26</t>
  </si>
  <si>
    <t xml:space="preserve"> - Sat 4/27</t>
  </si>
  <si>
    <t>Week 142: 4/29 - 5/5</t>
  </si>
  <si>
    <t xml:space="preserve"> - Payday</t>
  </si>
  <si>
    <t>Month 12: May 2024</t>
  </si>
  <si>
    <t xml:space="preserve"> - Sat 5/4</t>
  </si>
  <si>
    <t xml:space="preserve"> - Tues 4/30</t>
  </si>
  <si>
    <t xml:space="preserve"> - Wed 5/1</t>
  </si>
  <si>
    <t>Week 142: 5/6 - 5/12</t>
  </si>
  <si>
    <t xml:space="preserve"> - Mon 5/6</t>
  </si>
  <si>
    <t xml:space="preserve"> - Tues 5/7</t>
  </si>
  <si>
    <t xml:space="preserve"> - Fri 5/10</t>
  </si>
  <si>
    <t xml:space="preserve"> - Sat 5/11</t>
  </si>
  <si>
    <t xml:space="preserve"> - Thurs 5/6</t>
  </si>
  <si>
    <t xml:space="preserve"> - Fri 5/7</t>
  </si>
  <si>
    <t>Week 142: 5/13 - 5/19</t>
  </si>
  <si>
    <t>Project Objectives</t>
  </si>
  <si>
    <t>Tools &amp; Methods Used</t>
  </si>
  <si>
    <t>Area</t>
  </si>
  <si>
    <t>Details</t>
  </si>
  <si>
    <t>Software</t>
  </si>
  <si>
    <t>Visualizations</t>
  </si>
  <si>
    <t>Pie charts, time-series charts, category summaries, net income dashboards</t>
  </si>
  <si>
    <t>Data Management</t>
  </si>
  <si>
    <t>Ledger design, multi-sheet data structure, reference tables</t>
  </si>
  <si>
    <t>Sheet Overview</t>
  </si>
  <si>
    <t>Sheet Name</t>
  </si>
  <si>
    <t>Purpose &amp; Description</t>
  </si>
  <si>
    <t>Crypto Market Price</t>
  </si>
  <si>
    <t>Reference price sheet used to track cryptocurrency market values. Enables real-time valuation of crypto holdings and supports return-on-investment calculations across the portfolio.</t>
  </si>
  <si>
    <t>Records earnings generated from platforms including staking, mining, and rewards. Used to measure passive income growth and annual crypto revenue.</t>
  </si>
  <si>
    <t>Transaction-level log of income from online sources (survey platforms, apps, freelancing, etc.). Supports income verification, time-value analysis, and platform comparison.</t>
  </si>
  <si>
    <t>Crypto Ledger Wallet</t>
  </si>
  <si>
    <t>Maintains balances of cryptocurrency holdings across wallets and exchanges. Linked to market pricing to produce net worth and performance summaries.</t>
  </si>
  <si>
    <t>2022–23 Portfolio (Dashboard)</t>
  </si>
  <si>
    <t>Dashboard summarizing Year 1 financial performance, including total income vs. expenses, crypto valuations, and expense category breakdowns. Highlights net savings and financial patterns.</t>
  </si>
  <si>
    <t>2023–24 Portfolio (Dashboard)</t>
  </si>
  <si>
    <t>Dashboard summarizing Year 2 financial performance with year-over-year comparison metrics. Measures financial progress, spending adjustments, and gains in overall net worth.</t>
  </si>
  <si>
    <t>Key Insights Demonstrated</t>
  </si>
  <si>
    <t>Next Development Phase: SQL Migration (In Progress)</t>
  </si>
  <si>
    <t>This workbook is being migrated into a structured SQL database to enable:</t>
  </si>
  <si>
    <t>Automated financial reporting</t>
  </si>
  <si>
    <t>Query-based expense categorization</t>
  </si>
  <si>
    <t>Performance dashboards for the web/mobile environment</t>
  </si>
  <si>
    <t>Extra Expense</t>
  </si>
  <si>
    <t>General Crypto Earnings</t>
  </si>
  <si>
    <t xml:space="preserve">Twisted Moose </t>
  </si>
  <si>
    <t>University of Wi-La Crosse</t>
  </si>
  <si>
    <t>XYO: Coin</t>
  </si>
  <si>
    <t xml:space="preserve">Medium </t>
  </si>
  <si>
    <t>The Drifftless Axe</t>
  </si>
  <si>
    <t>Masabi</t>
  </si>
  <si>
    <t>Uber Eats</t>
  </si>
  <si>
    <t>SuperAmerica</t>
  </si>
  <si>
    <t>Kum &amp; Go</t>
  </si>
  <si>
    <t xml:space="preserve">Dulce Vida </t>
  </si>
  <si>
    <t>Steamies Burger</t>
  </si>
  <si>
    <t xml:space="preserve">Glenarm Dining </t>
  </si>
  <si>
    <t>The Alibi Telluride</t>
  </si>
  <si>
    <t>Latimer Liquors</t>
  </si>
  <si>
    <t>Last Dollar Saloon</t>
  </si>
  <si>
    <t>Speedway</t>
  </si>
  <si>
    <t>Big Billies Mountain</t>
  </si>
  <si>
    <t xml:space="preserve">Uno Dos Tres </t>
  </si>
  <si>
    <t>Obannons Irish Pub</t>
  </si>
  <si>
    <t>Telluride Bottle Works</t>
  </si>
  <si>
    <t>Baked in Telluride</t>
  </si>
  <si>
    <t>The Market at Telluride</t>
  </si>
  <si>
    <t xml:space="preserve">The New Fat Alley </t>
  </si>
  <si>
    <t>Tomboy Tavern</t>
  </si>
  <si>
    <t>CircleK</t>
  </si>
  <si>
    <t>Rocky Mountain Taco</t>
  </si>
  <si>
    <t>Denver Airport</t>
  </si>
  <si>
    <t>Uber Trip</t>
  </si>
  <si>
    <t>Hy-Vee</t>
  </si>
  <si>
    <t>Southside Liquor</t>
  </si>
  <si>
    <t>Whos On Third</t>
  </si>
  <si>
    <t>Frontier Airlines Onb</t>
  </si>
  <si>
    <t xml:space="preserve">XYO: Coin </t>
  </si>
  <si>
    <t>Mt La Crosse Ski Area</t>
  </si>
  <si>
    <t>ExamFX</t>
  </si>
  <si>
    <t xml:space="preserve">The Dugout </t>
  </si>
  <si>
    <t>Ebay</t>
  </si>
  <si>
    <t xml:space="preserve">4 Sisters Wine Bar &amp; Tapa </t>
  </si>
  <si>
    <t>David Reays</t>
  </si>
  <si>
    <t>Moka</t>
  </si>
  <si>
    <t xml:space="preserve">Fork &amp; Fable </t>
  </si>
  <si>
    <t>PSI Services</t>
  </si>
  <si>
    <t>PSI Services: Test</t>
  </si>
  <si>
    <t xml:space="preserve">Fieldprint </t>
  </si>
  <si>
    <t xml:space="preserve">Bleu Duck </t>
  </si>
  <si>
    <t>Big Als Pizza</t>
  </si>
  <si>
    <t>The Library</t>
  </si>
  <si>
    <t>NIPR License</t>
  </si>
  <si>
    <t>La Crosse Center</t>
  </si>
  <si>
    <t>Capital One Payment</t>
  </si>
  <si>
    <t>Expenses By Month</t>
  </si>
  <si>
    <t>NFT Asset Total (Current Return)</t>
  </si>
  <si>
    <t>Microsoft Excel, Transitions into SQL</t>
  </si>
  <si>
    <t>Est. Earning Claims</t>
  </si>
  <si>
    <t>Dollar</t>
  </si>
  <si>
    <t>Expenses By Category</t>
  </si>
  <si>
    <t>Crypto Asset Totals and Earnings</t>
  </si>
  <si>
    <t>City of La Crosse</t>
  </si>
  <si>
    <t>Trust Point: Intern</t>
  </si>
  <si>
    <t>Lindsey</t>
  </si>
  <si>
    <t>Fincancial Portfolio: Expense Data</t>
  </si>
  <si>
    <t>Fincancial Portfolio: Work Data</t>
  </si>
  <si>
    <t>Fincancial Portfolio: Crypto Claims</t>
  </si>
  <si>
    <t>Fincancial Portfolio: Crypto Earnings</t>
  </si>
  <si>
    <t>Fincancial Portfolio: Crypto Market Data</t>
  </si>
  <si>
    <r>
      <t xml:space="preserve">This workbook provides a multi-year analysis of personal income, expenses, crypto holdings, and earning activities across both traditional and digital income streams. The portfolio uses structured </t>
    </r>
    <r>
      <rPr>
        <b/>
        <sz val="12"/>
        <color theme="1"/>
        <rFont val="Calibri"/>
        <family val="2"/>
        <scheme val="minor"/>
      </rPr>
      <t>example</t>
    </r>
    <r>
      <rPr>
        <sz val="12"/>
        <color theme="1"/>
        <rFont val="Calibri"/>
        <family val="2"/>
        <scheme val="minor"/>
      </rPr>
      <t xml:space="preserve"> ledger data and dashboard visuals to evaluate net savings, financial efficiency, and year-over-year performance trends. This portfolio and analysis is based on real personal experiences and transactions, however modified into example data for other use. I created this to help understand where, why and what I was doing with my money during a time I went to college and worked. </t>
    </r>
  </si>
  <si>
    <r>
      <t xml:space="preserve">Track </t>
    </r>
    <r>
      <rPr>
        <b/>
        <sz val="12"/>
        <color theme="1"/>
        <rFont val="Calibri"/>
        <family val="2"/>
        <scheme val="minor"/>
      </rPr>
      <t>active and passive income</t>
    </r>
    <r>
      <rPr>
        <sz val="12"/>
        <color theme="1"/>
        <rFont val="Calibri"/>
        <family val="2"/>
        <scheme val="minor"/>
      </rPr>
      <t xml:space="preserve"> from multiple sources.</t>
    </r>
  </si>
  <si>
    <r>
      <t xml:space="preserve">Maintain a </t>
    </r>
    <r>
      <rPr>
        <b/>
        <sz val="12"/>
        <color theme="1"/>
        <rFont val="Calibri"/>
        <family val="2"/>
        <scheme val="minor"/>
      </rPr>
      <t>detailed expense ledger</t>
    </r>
    <r>
      <rPr>
        <sz val="12"/>
        <color theme="1"/>
        <rFont val="Calibri"/>
        <family val="2"/>
        <scheme val="minor"/>
      </rPr>
      <t xml:space="preserve"> to monitor spending habits.</t>
    </r>
  </si>
  <si>
    <r>
      <t xml:space="preserve">Track and value </t>
    </r>
    <r>
      <rPr>
        <b/>
        <sz val="12"/>
        <color theme="1"/>
        <rFont val="Calibri"/>
        <family val="2"/>
        <scheme val="minor"/>
      </rPr>
      <t>cryptocurrency holdings and earnings</t>
    </r>
    <r>
      <rPr>
        <sz val="12"/>
        <color theme="1"/>
        <rFont val="Calibri"/>
        <family val="2"/>
        <scheme val="minor"/>
      </rPr>
      <t xml:space="preserve"> over time.</t>
    </r>
  </si>
  <si>
    <r>
      <t xml:space="preserve">Summarize financial performance using </t>
    </r>
    <r>
      <rPr>
        <b/>
        <sz val="12"/>
        <color theme="1"/>
        <rFont val="Calibri"/>
        <family val="2"/>
        <scheme val="minor"/>
      </rPr>
      <t>interactive dashboards</t>
    </r>
    <r>
      <rPr>
        <sz val="12"/>
        <color theme="1"/>
        <rFont val="Calibri"/>
        <family val="2"/>
        <scheme val="minor"/>
      </rPr>
      <t>.</t>
    </r>
  </si>
  <si>
    <r>
      <t xml:space="preserve">Analyze </t>
    </r>
    <r>
      <rPr>
        <b/>
        <sz val="12"/>
        <color theme="1"/>
        <rFont val="Calibri"/>
        <family val="2"/>
        <scheme val="minor"/>
      </rPr>
      <t>year-over-year growth, savings rates, and cash flow patterns</t>
    </r>
    <r>
      <rPr>
        <sz val="12"/>
        <color theme="1"/>
        <rFont val="Calibri"/>
        <family val="2"/>
        <scheme val="minor"/>
      </rPr>
      <t>.</t>
    </r>
  </si>
  <si>
    <r>
      <t xml:space="preserve">Ability to </t>
    </r>
    <r>
      <rPr>
        <b/>
        <sz val="12"/>
        <color theme="1"/>
        <rFont val="Calibri"/>
        <family val="2"/>
        <scheme val="minor"/>
      </rPr>
      <t>design and structure financial tracking systems</t>
    </r>
    <r>
      <rPr>
        <sz val="12"/>
        <color theme="1"/>
        <rFont val="Calibri"/>
        <family val="2"/>
        <scheme val="minor"/>
      </rPr>
      <t xml:space="preserve"> from raw data.</t>
    </r>
  </si>
  <si>
    <r>
      <t xml:space="preserve">Strong understanding of </t>
    </r>
    <r>
      <rPr>
        <b/>
        <sz val="12"/>
        <color theme="1"/>
        <rFont val="Calibri"/>
        <family val="2"/>
        <scheme val="minor"/>
      </rPr>
      <t>personal finance categorization and cost analysis</t>
    </r>
    <r>
      <rPr>
        <sz val="12"/>
        <color theme="1"/>
        <rFont val="Calibri"/>
        <family val="2"/>
        <scheme val="minor"/>
      </rPr>
      <t>.</t>
    </r>
  </si>
  <si>
    <r>
      <t xml:space="preserve">Proficiency using </t>
    </r>
    <r>
      <rPr>
        <b/>
        <sz val="12"/>
        <color theme="1"/>
        <rFont val="Calibri"/>
        <family val="2"/>
        <scheme val="minor"/>
      </rPr>
      <t>Excel for analytical reporting and dashboard visualization</t>
    </r>
    <r>
      <rPr>
        <sz val="12"/>
        <color theme="1"/>
        <rFont val="Calibri"/>
        <family val="2"/>
        <scheme val="minor"/>
      </rPr>
      <t>.</t>
    </r>
  </si>
  <si>
    <r>
      <t xml:space="preserve">Demonstrated ability to track and evaluate </t>
    </r>
    <r>
      <rPr>
        <b/>
        <sz val="12"/>
        <color theme="1"/>
        <rFont val="Calibri"/>
        <family val="2"/>
        <scheme val="minor"/>
      </rPr>
      <t>multi-stream income and investments</t>
    </r>
    <r>
      <rPr>
        <sz val="12"/>
        <color theme="1"/>
        <rFont val="Calibri"/>
        <family val="2"/>
        <scheme val="minor"/>
      </rPr>
      <t>.</t>
    </r>
  </si>
  <si>
    <r>
      <t xml:space="preserve">Capability to convert personal finance data into </t>
    </r>
    <r>
      <rPr>
        <b/>
        <sz val="12"/>
        <color theme="1"/>
        <rFont val="Calibri"/>
        <family val="2"/>
        <scheme val="minor"/>
      </rPr>
      <t>business-quality reporting</t>
    </r>
    <r>
      <rPr>
        <sz val="12"/>
        <color theme="1"/>
        <rFont val="Calibri"/>
        <family val="2"/>
        <scheme val="minor"/>
      </rPr>
      <t>.</t>
    </r>
  </si>
  <si>
    <r>
      <t xml:space="preserve">Categorized expense ledger tracking dates, vendors, and amounts spent. Supports spending analysis, budgeting, and savings-rate tracking. </t>
    </r>
    <r>
      <rPr>
        <u/>
        <sz val="12"/>
        <color theme="1"/>
        <rFont val="Calibri"/>
        <family val="2"/>
        <scheme val="minor"/>
      </rPr>
      <t>"Not Included in PDF"</t>
    </r>
  </si>
  <si>
    <r>
      <t xml:space="preserve">Tracks hours worked, pay rates, and dates across different job roles. Used to compute annual earned income and compare labor earnings to passive income sources. </t>
    </r>
    <r>
      <rPr>
        <u/>
        <sz val="12"/>
        <color theme="1"/>
        <rFont val="Calibri"/>
        <family val="2"/>
        <scheme val="minor"/>
      </rPr>
      <t>"Not Included in PDF"</t>
    </r>
  </si>
  <si>
    <t>Personal Finance Analysis Dashboard (2022–2024) "Read Me"</t>
  </si>
  <si>
    <t>2023-24 Personal Finance Analysis Dashboard</t>
  </si>
  <si>
    <t>2022-23 Personal Finance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</si>
</sst>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000_);_(&quot;$&quot;* \(#,##0.0000000\);_(&quot;$&quot;* &quot;-&quot;??_);_(@_)"/>
    <numFmt numFmtId="166" formatCode="_(&quot;$&quot;* #,##0.0000000000_);_(&quot;$&quot;* \(#,##0.0000000000\);_(&quot;$&quot;* &quot;-&quot;??_);_(@_)"/>
    <numFmt numFmtId="167" formatCode="0.00000000000"/>
    <numFmt numFmtId="168" formatCode="0.00000000"/>
    <numFmt numFmtId="169" formatCode="0.00000"/>
    <numFmt numFmtId="170" formatCode="0.000000"/>
    <numFmt numFmtId="171" formatCode="0.000"/>
    <numFmt numFmtId="172" formatCode="&quot;$&quot;#,##0.0000000000"/>
    <numFmt numFmtId="173" formatCode="&quot;$&quot;#,##0.0000"/>
    <numFmt numFmtId="174" formatCode="_([$$-409]* #,##0.00_);_([$$-409]* \(#,##0.00\);_([$$-409]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theme="6"/>
      </patternFill>
    </fill>
    <fill>
      <patternFill patternType="solid">
        <fgColor theme="3" tint="0.39997558519241921"/>
        <b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3" fillId="12" borderId="0" applyNumberFormat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8" fontId="0" fillId="0" borderId="0" xfId="0" applyNumberForma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44" fontId="0" fillId="0" borderId="0" xfId="1" applyFont="1"/>
    <xf numFmtId="44" fontId="0" fillId="0" borderId="0" xfId="0" applyNumberFormat="1"/>
    <xf numFmtId="44" fontId="4" fillId="0" borderId="0" xfId="1" applyFont="1" applyBorder="1"/>
    <xf numFmtId="8" fontId="4" fillId="0" borderId="0" xfId="0" applyNumberFormat="1" applyFont="1"/>
    <xf numFmtId="4" fontId="0" fillId="0" borderId="0" xfId="0" applyNumberFormat="1"/>
    <xf numFmtId="164" fontId="4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4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67" fontId="4" fillId="0" borderId="0" xfId="0" applyNumberFormat="1" applyFont="1"/>
    <xf numFmtId="14" fontId="0" fillId="0" borderId="0" xfId="0" applyNumberFormat="1"/>
    <xf numFmtId="9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44" fontId="0" fillId="0" borderId="0" xfId="1" applyFont="1" applyAlignment="1">
      <alignment horizontal="center"/>
    </xf>
    <xf numFmtId="0" fontId="0" fillId="0" borderId="1" xfId="0" applyBorder="1"/>
    <xf numFmtId="1" fontId="0" fillId="0" borderId="0" xfId="0" applyNumberFormat="1"/>
    <xf numFmtId="0" fontId="8" fillId="0" borderId="0" xfId="0" applyFont="1"/>
    <xf numFmtId="0" fontId="0" fillId="0" borderId="1" xfId="0" applyBorder="1" applyAlignment="1">
      <alignment horizontal="center"/>
    </xf>
    <xf numFmtId="0" fontId="4" fillId="0" borderId="0" xfId="0" applyFont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4" fillId="0" borderId="0" xfId="1" applyFont="1"/>
    <xf numFmtId="14" fontId="0" fillId="0" borderId="0" xfId="0" applyNumberFormat="1" applyAlignment="1">
      <alignment horizontal="left"/>
    </xf>
    <xf numFmtId="169" fontId="0" fillId="0" borderId="0" xfId="0" applyNumberFormat="1"/>
    <xf numFmtId="44" fontId="4" fillId="0" borderId="0" xfId="0" applyNumberFormat="1" applyFont="1"/>
    <xf numFmtId="0" fontId="0" fillId="0" borderId="0" xfId="0" applyAlignment="1">
      <alignment horizontal="left"/>
    </xf>
    <xf numFmtId="0" fontId="7" fillId="4" borderId="3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/>
    <xf numFmtId="44" fontId="0" fillId="0" borderId="7" xfId="1" applyFont="1" applyBorder="1"/>
    <xf numFmtId="0" fontId="7" fillId="4" borderId="8" xfId="0" applyFont="1" applyFill="1" applyBorder="1"/>
    <xf numFmtId="44" fontId="0" fillId="0" borderId="9" xfId="1" applyFont="1" applyBorder="1"/>
    <xf numFmtId="8" fontId="4" fillId="0" borderId="0" xfId="1" applyNumberFormat="1" applyFont="1"/>
    <xf numFmtId="169" fontId="0" fillId="0" borderId="0" xfId="0" applyNumberFormat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164" fontId="0" fillId="0" borderId="5" xfId="0" applyNumberFormat="1" applyBorder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/>
    <xf numFmtId="164" fontId="7" fillId="5" borderId="0" xfId="0" applyNumberFormat="1" applyFont="1" applyFill="1" applyAlignment="1">
      <alignment horizontal="center"/>
    </xf>
    <xf numFmtId="8" fontId="0" fillId="0" borderId="10" xfId="0" applyNumberFormat="1" applyBorder="1"/>
    <xf numFmtId="164" fontId="0" fillId="0" borderId="10" xfId="0" applyNumberFormat="1" applyBorder="1"/>
    <xf numFmtId="0" fontId="7" fillId="6" borderId="0" xfId="0" applyFont="1" applyFill="1"/>
    <xf numFmtId="0" fontId="7" fillId="6" borderId="0" xfId="0" applyFont="1" applyFill="1" applyAlignment="1">
      <alignment horizontal="center"/>
    </xf>
    <xf numFmtId="164" fontId="7" fillId="6" borderId="0" xfId="0" applyNumberFormat="1" applyFont="1" applyFill="1"/>
    <xf numFmtId="164" fontId="7" fillId="6" borderId="0" xfId="0" applyNumberFormat="1" applyFont="1" applyFill="1" applyAlignment="1">
      <alignment horizontal="center"/>
    </xf>
    <xf numFmtId="164" fontId="4" fillId="0" borderId="0" xfId="1" applyNumberFormat="1" applyFont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0" borderId="10" xfId="0" applyBorder="1"/>
    <xf numFmtId="171" fontId="0" fillId="0" borderId="0" xfId="0" applyNumberFormat="1"/>
    <xf numFmtId="0" fontId="10" fillId="0" borderId="0" xfId="0" applyFont="1"/>
    <xf numFmtId="8" fontId="0" fillId="0" borderId="4" xfId="1" applyNumberFormat="1" applyFont="1" applyBorder="1"/>
    <xf numFmtId="0" fontId="7" fillId="8" borderId="0" xfId="0" applyFont="1" applyFill="1" applyAlignment="1">
      <alignment horizontal="center"/>
    </xf>
    <xf numFmtId="0" fontId="7" fillId="4" borderId="12" xfId="0" applyFont="1" applyFill="1" applyBorder="1"/>
    <xf numFmtId="0" fontId="7" fillId="4" borderId="6" xfId="0" applyFont="1" applyFill="1" applyBorder="1" applyAlignment="1">
      <alignment horizontal="center"/>
    </xf>
    <xf numFmtId="164" fontId="4" fillId="0" borderId="11" xfId="0" applyNumberFormat="1" applyFont="1" applyBorder="1"/>
    <xf numFmtId="0" fontId="4" fillId="0" borderId="11" xfId="0" applyFont="1" applyBorder="1" applyAlignment="1">
      <alignment horizontal="right"/>
    </xf>
    <xf numFmtId="0" fontId="4" fillId="0" borderId="11" xfId="0" applyFont="1" applyBorder="1"/>
    <xf numFmtId="0" fontId="7" fillId="8" borderId="0" xfId="0" applyFont="1" applyFill="1" applyAlignment="1">
      <alignment horizontal="left"/>
    </xf>
    <xf numFmtId="164" fontId="0" fillId="0" borderId="4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8" xfId="0" applyFont="1" applyFill="1" applyBorder="1"/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left"/>
    </xf>
    <xf numFmtId="164" fontId="7" fillId="4" borderId="13" xfId="0" applyNumberFormat="1" applyFont="1" applyFill="1" applyBorder="1"/>
    <xf numFmtId="164" fontId="7" fillId="4" borderId="14" xfId="0" applyNumberFormat="1" applyFont="1" applyFill="1" applyBorder="1"/>
    <xf numFmtId="164" fontId="7" fillId="4" borderId="15" xfId="0" applyNumberFormat="1" applyFont="1" applyFill="1" applyBorder="1"/>
    <xf numFmtId="0" fontId="7" fillId="2" borderId="16" xfId="0" applyFont="1" applyFill="1" applyBorder="1"/>
    <xf numFmtId="0" fontId="7" fillId="2" borderId="16" xfId="0" applyFont="1" applyFill="1" applyBorder="1" applyAlignment="1">
      <alignment horizontal="center"/>
    </xf>
    <xf numFmtId="0" fontId="0" fillId="3" borderId="16" xfId="0" applyFill="1" applyBorder="1"/>
    <xf numFmtId="0" fontId="0" fillId="3" borderId="16" xfId="0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/>
    <xf numFmtId="44" fontId="0" fillId="0" borderId="1" xfId="1" applyFont="1" applyBorder="1"/>
    <xf numFmtId="44" fontId="0" fillId="0" borderId="0" xfId="1" applyFont="1" applyAlignment="1">
      <alignment horizontal="right"/>
    </xf>
    <xf numFmtId="44" fontId="0" fillId="3" borderId="0" xfId="1" applyFont="1" applyFill="1" applyAlignment="1">
      <alignment horizontal="right"/>
    </xf>
    <xf numFmtId="44" fontId="0" fillId="3" borderId="0" xfId="1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8" fontId="4" fillId="0" borderId="10" xfId="0" applyNumberFormat="1" applyFont="1" applyBorder="1" applyAlignment="1">
      <alignment horizontal="right"/>
    </xf>
    <xf numFmtId="44" fontId="4" fillId="0" borderId="10" xfId="0" applyNumberFormat="1" applyFont="1" applyBorder="1"/>
    <xf numFmtId="172" fontId="4" fillId="0" borderId="0" xfId="0" applyNumberFormat="1" applyFont="1"/>
    <xf numFmtId="173" fontId="0" fillId="0" borderId="0" xfId="0" applyNumberFormat="1"/>
    <xf numFmtId="164" fontId="0" fillId="0" borderId="0" xfId="0" applyNumberFormat="1" applyAlignment="1">
      <alignment horizontal="right"/>
    </xf>
    <xf numFmtId="174" fontId="0" fillId="0" borderId="0" xfId="0" applyNumberFormat="1"/>
    <xf numFmtId="0" fontId="4" fillId="0" borderId="5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/>
    <xf numFmtId="0" fontId="7" fillId="10" borderId="16" xfId="0" applyFont="1" applyFill="1" applyBorder="1"/>
    <xf numFmtId="0" fontId="7" fillId="10" borderId="16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9" fontId="0" fillId="0" borderId="1" xfId="0" applyNumberFormat="1" applyBorder="1"/>
    <xf numFmtId="0" fontId="0" fillId="0" borderId="16" xfId="0" applyBorder="1"/>
    <xf numFmtId="14" fontId="0" fillId="0" borderId="16" xfId="0" applyNumberFormat="1" applyBorder="1" applyAlignment="1">
      <alignment horizontal="left"/>
    </xf>
    <xf numFmtId="44" fontId="0" fillId="0" borderId="16" xfId="1" applyFont="1" applyFill="1" applyBorder="1"/>
    <xf numFmtId="44" fontId="0" fillId="0" borderId="0" xfId="1" applyFont="1" applyFill="1"/>
    <xf numFmtId="170" fontId="0" fillId="0" borderId="0" xfId="0" applyNumberFormat="1"/>
    <xf numFmtId="44" fontId="0" fillId="0" borderId="1" xfId="1" applyFont="1" applyFill="1" applyBorder="1"/>
    <xf numFmtId="169" fontId="0" fillId="0" borderId="16" xfId="0" applyNumberFormat="1" applyBorder="1"/>
    <xf numFmtId="169" fontId="0" fillId="0" borderId="0" xfId="0" applyNumberFormat="1" applyAlignment="1">
      <alignment horizontal="right"/>
    </xf>
    <xf numFmtId="0" fontId="7" fillId="11" borderId="16" xfId="0" applyFont="1" applyFill="1" applyBorder="1"/>
    <xf numFmtId="0" fontId="7" fillId="11" borderId="16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44" fontId="0" fillId="0" borderId="0" xfId="1" applyFont="1" applyFill="1" applyBorder="1"/>
    <xf numFmtId="14" fontId="0" fillId="0" borderId="5" xfId="0" applyNumberFormat="1" applyBorder="1" applyAlignment="1">
      <alignment horizontal="left"/>
    </xf>
    <xf numFmtId="169" fontId="0" fillId="0" borderId="5" xfId="0" applyNumberFormat="1" applyBorder="1" applyAlignment="1">
      <alignment horizontal="right"/>
    </xf>
    <xf numFmtId="169" fontId="0" fillId="0" borderId="5" xfId="0" applyNumberFormat="1" applyBorder="1"/>
    <xf numFmtId="44" fontId="0" fillId="0" borderId="5" xfId="1" applyFont="1" applyFill="1" applyBorder="1"/>
    <xf numFmtId="0" fontId="7" fillId="10" borderId="2" xfId="0" applyFont="1" applyFill="1" applyBorder="1"/>
    <xf numFmtId="0" fontId="7" fillId="11" borderId="2" xfId="0" applyFont="1" applyFill="1" applyBorder="1" applyAlignment="1">
      <alignment horizontal="left"/>
    </xf>
    <xf numFmtId="0" fontId="7" fillId="11" borderId="16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center"/>
    </xf>
    <xf numFmtId="0" fontId="7" fillId="9" borderId="16" xfId="0" applyFont="1" applyFill="1" applyBorder="1"/>
    <xf numFmtId="0" fontId="7" fillId="9" borderId="16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/>
    <xf numFmtId="0" fontId="4" fillId="0" borderId="5" xfId="0" applyFont="1" applyBorder="1"/>
    <xf numFmtId="4" fontId="0" fillId="0" borderId="16" xfId="0" applyNumberFormat="1" applyBorder="1"/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4" fontId="0" fillId="0" borderId="16" xfId="1" applyFont="1" applyFill="1" applyBorder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1" xfId="1" applyFont="1" applyFill="1" applyBorder="1" applyAlignment="1">
      <alignment horizontal="center"/>
    </xf>
    <xf numFmtId="8" fontId="0" fillId="0" borderId="0" xfId="0" applyNumberFormat="1" applyAlignment="1">
      <alignment horizontal="left"/>
    </xf>
    <xf numFmtId="14" fontId="0" fillId="3" borderId="16" xfId="0" applyNumberFormat="1" applyFill="1" applyBorder="1" applyAlignment="1">
      <alignment horizontal="center"/>
    </xf>
    <xf numFmtId="44" fontId="0" fillId="3" borderId="16" xfId="1" applyFont="1" applyFill="1" applyBorder="1"/>
    <xf numFmtId="4" fontId="0" fillId="0" borderId="1" xfId="0" applyNumberFormat="1" applyBorder="1"/>
    <xf numFmtId="0" fontId="0" fillId="0" borderId="10" xfId="0" applyBorder="1" applyAlignment="1">
      <alignment horizontal="center"/>
    </xf>
    <xf numFmtId="0" fontId="4" fillId="0" borderId="10" xfId="0" applyFont="1" applyBorder="1" applyAlignment="1">
      <alignment horizontal="right"/>
    </xf>
    <xf numFmtId="8" fontId="4" fillId="0" borderId="10" xfId="0" applyNumberFormat="1" applyFont="1" applyBorder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0" fontId="0" fillId="0" borderId="5" xfId="0" applyNumberFormat="1" applyBorder="1"/>
    <xf numFmtId="0" fontId="7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7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4" fillId="0" borderId="10" xfId="0" applyFont="1" applyBorder="1"/>
    <xf numFmtId="0" fontId="12" fillId="13" borderId="5" xfId="2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1" fillId="9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3">
    <cellStyle name="20% - Accent3" xfId="2" builtinId="38"/>
    <cellStyle name="Currency" xfId="1" builtinId="4"/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bottom" textRotation="0" wrapText="0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2" formatCode="&quot;$&quot;#,##0.00_);[Red]\(&quot;$&quot;#,##0.00\)"/>
    </dxf>
    <dxf>
      <numFmt numFmtId="168" formatCode="0.00000000"/>
    </dxf>
    <dxf>
      <numFmt numFmtId="12" formatCode="&quot;$&quot;#,##0.00_);[Red]\(&quot;$&quot;#,##0.00\)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color auto="1"/>
      </font>
      <border>
        <top style="medium">
          <color auto="1"/>
        </top>
        <bottom style="medium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BC4BF90E-4411-41B0-BAD0-9CACC08803B5}">
      <tableStyleElement type="totalRow" dxfId="66"/>
    </tableStyle>
  </tableStyles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12700">
                <a:solidFill>
                  <a:srgbClr val="4472C4"/>
                </a:solidFill>
                <a:round/>
              </a:ln>
              <a:effectLst/>
            </c:spPr>
          </c:marker>
          <c:dLbls>
            <c:dLbl>
              <c:idx val="5"/>
              <c:layout>
                <c:manualLayout>
                  <c:x val="-4.9446727646342198E-2"/>
                  <c:y val="4.3604651162790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D6-4B31-AA79-9141CF3BD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'2023-24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'2023-24 Portfolio "Dashboard"'!$B$10:$B$21</c:f>
              <c:numCache>
                <c:formatCode>"$"#,##0.00</c:formatCode>
                <c:ptCount val="12"/>
                <c:pt idx="0">
                  <c:v>-1741.25</c:v>
                </c:pt>
                <c:pt idx="1">
                  <c:v>-1727.68</c:v>
                </c:pt>
                <c:pt idx="2">
                  <c:v>-1866.7399999999998</c:v>
                </c:pt>
                <c:pt idx="3">
                  <c:v>-911.94999999999993</c:v>
                </c:pt>
                <c:pt idx="4">
                  <c:v>-996.32</c:v>
                </c:pt>
                <c:pt idx="5">
                  <c:v>-963.7</c:v>
                </c:pt>
                <c:pt idx="6">
                  <c:v>-1835.44</c:v>
                </c:pt>
                <c:pt idx="7">
                  <c:v>-869.93</c:v>
                </c:pt>
                <c:pt idx="8">
                  <c:v>-2345.87</c:v>
                </c:pt>
                <c:pt idx="9">
                  <c:v>-1581.39</c:v>
                </c:pt>
                <c:pt idx="10">
                  <c:v>-1280.1399999999999</c:v>
                </c:pt>
                <c:pt idx="11">
                  <c:v>-1674.6799999999998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6-4B31-AA79-9141CF3BDA0B}"/>
            </c:ext>
          </c:extLst>
        </c:ser>
        <c:ser>
          <c:idx val="1"/>
          <c:order val="1"/>
          <c:spPr>
            <a:ln w="317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4472C4"/>
              </a:solidFill>
              <a:ln w="12700">
                <a:solidFill>
                  <a:srgbClr val="4472C4"/>
                </a:solidFill>
                <a:round/>
              </a:ln>
              <a:effectLst/>
            </c:spPr>
          </c:marker>
          <c:dLbls>
            <c:dLbl>
              <c:idx val="5"/>
              <c:layout>
                <c:manualLayout>
                  <c:x val="-5.1419556169308406E-2"/>
                  <c:y val="-3.9642442040958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D6-4B31-AA79-9141CF3BDA0B}"/>
                </c:ext>
              </c:extLst>
            </c:dLbl>
            <c:dLbl>
              <c:idx val="6"/>
              <c:layout>
                <c:manualLayout>
                  <c:x val="-4.7449072877570539E-2"/>
                  <c:y val="4.6384652102466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A-486B-8AED-003E137D471D}"/>
                </c:ext>
              </c:extLst>
            </c:dLbl>
            <c:dLbl>
              <c:idx val="7"/>
              <c:layout>
                <c:manualLayout>
                  <c:x val="-7.3909343743129102E-2"/>
                  <c:y val="-4.281660194073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C-4D24-AD93-94F72B4A0B3B}"/>
                </c:ext>
              </c:extLst>
            </c:dLbl>
            <c:dLbl>
              <c:idx val="8"/>
              <c:layout>
                <c:manualLayout>
                  <c:x val="-5.4313829110139905E-2"/>
                  <c:y val="-4.6384652102466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CC-4D24-AD93-94F72B4A0B3B}"/>
                </c:ext>
              </c:extLst>
            </c:dLbl>
            <c:dLbl>
              <c:idx val="9"/>
              <c:layout>
                <c:manualLayout>
                  <c:x val="-4.6475623256944404E-2"/>
                  <c:y val="-3.9248551779010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EB-48E3-B713-4418B19C4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'2023-24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'2023-24 Portfolio "Dashboard"'!$C$10:$C$21</c:f>
              <c:numCache>
                <c:formatCode>"$"#,##0.00</c:formatCode>
                <c:ptCount val="12"/>
                <c:pt idx="0">
                  <c:v>2590.25</c:v>
                </c:pt>
                <c:pt idx="1">
                  <c:v>1657</c:v>
                </c:pt>
                <c:pt idx="2">
                  <c:v>3038.75</c:v>
                </c:pt>
                <c:pt idx="3">
                  <c:v>2964.25</c:v>
                </c:pt>
                <c:pt idx="4">
                  <c:v>3298</c:v>
                </c:pt>
                <c:pt idx="5">
                  <c:v>3322.25</c:v>
                </c:pt>
                <c:pt idx="6">
                  <c:v>1526.625</c:v>
                </c:pt>
                <c:pt idx="7">
                  <c:v>2044.5</c:v>
                </c:pt>
                <c:pt idx="8">
                  <c:v>1763.875</c:v>
                </c:pt>
                <c:pt idx="9">
                  <c:v>2869.625</c:v>
                </c:pt>
                <c:pt idx="10">
                  <c:v>2336.75</c:v>
                </c:pt>
                <c:pt idx="11">
                  <c:v>992.5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6-4B31-AA79-9141CF3BDA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8035567"/>
        <c:axId val="598038447"/>
      </c:lineChart>
      <c:catAx>
        <c:axId val="598035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38447"/>
        <c:crosses val="autoZero"/>
        <c:auto val="1"/>
        <c:lblAlgn val="ctr"/>
        <c:lblOffset val="100"/>
        <c:noMultiLvlLbl val="0"/>
      </c:catAx>
      <c:valAx>
        <c:axId val="5980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3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Crypto Asset Ledger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'2023-24 Portfolio "Dashboard"'!$A$38:$A$49</c:f>
              <c:strCache>
                <c:ptCount val="12"/>
                <c:pt idx="0">
                  <c:v>Crypto Exchanges</c:v>
                </c:pt>
                <c:pt idx="1">
                  <c:v>Crypto Wallets</c:v>
                </c:pt>
                <c:pt idx="2">
                  <c:v>Crypto Staking</c:v>
                </c:pt>
                <c:pt idx="3">
                  <c:v>Crypto App Miners</c:v>
                </c:pt>
                <c:pt idx="4">
                  <c:v>GPU/CPU &amp; Data Miners</c:v>
                </c:pt>
                <c:pt idx="5">
                  <c:v>NFT Accounts</c:v>
                </c:pt>
                <c:pt idx="6">
                  <c:v>Investment Apps</c:v>
                </c:pt>
                <c:pt idx="7">
                  <c:v>Crypto Faucets/Surveys</c:v>
                </c:pt>
                <c:pt idx="8">
                  <c:v>Paid Tasks/Survey Apps</c:v>
                </c:pt>
                <c:pt idx="9">
                  <c:v>Receipts </c:v>
                </c:pt>
                <c:pt idx="10">
                  <c:v>App Miners</c:v>
                </c:pt>
                <c:pt idx="11">
                  <c:v>Driving &amp; Fitness Apps</c:v>
                </c:pt>
              </c:strCache>
            </c:strRef>
          </c:cat>
          <c:val>
            <c:numRef>
              <c:f>'2023-24 Portfolio "Dashboard"'!$B$38:$B$49</c:f>
              <c:numCache>
                <c:formatCode>"$"#,##0.00</c:formatCode>
                <c:ptCount val="12"/>
                <c:pt idx="0">
                  <c:v>934.9890649294</c:v>
                </c:pt>
                <c:pt idx="1">
                  <c:v>295.56258873693787</c:v>
                </c:pt>
                <c:pt idx="2">
                  <c:v>29.5318279</c:v>
                </c:pt>
                <c:pt idx="3">
                  <c:v>966.95465283778492</c:v>
                </c:pt>
                <c:pt idx="4">
                  <c:v>223.22833449999999</c:v>
                </c:pt>
                <c:pt idx="5">
                  <c:v>68.120764386730016</c:v>
                </c:pt>
                <c:pt idx="6">
                  <c:v>220.46</c:v>
                </c:pt>
                <c:pt idx="7">
                  <c:v>188.72858739999998</c:v>
                </c:pt>
                <c:pt idx="8">
                  <c:v>41.604999999999997</c:v>
                </c:pt>
                <c:pt idx="9">
                  <c:v>181.69794096601072</c:v>
                </c:pt>
                <c:pt idx="10">
                  <c:v>966.95465283778492</c:v>
                </c:pt>
                <c:pt idx="11">
                  <c:v>131.22816089390003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9-4606-923C-098AF62AB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67719679"/>
        <c:axId val="667720159"/>
      </c:barChart>
      <c:catAx>
        <c:axId val="66771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20159"/>
        <c:crosses val="autoZero"/>
        <c:auto val="1"/>
        <c:lblAlgn val="ctr"/>
        <c:lblOffset val="100"/>
        <c:noMultiLvlLbl val="0"/>
      </c:catAx>
      <c:valAx>
        <c:axId val="6677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1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F9A-4994-A9B0-F0AD83A5D20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F9A-4994-A9B0-F0AD83A5D20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F9A-4994-A9B0-F0AD83A5D20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F9A-4994-A9B0-F0AD83A5D20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F9A-4994-A9B0-F0AD83A5D20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F9A-4994-A9B0-F0AD83A5D2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F9A-4994-A9B0-F0AD83A5D20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F9A-4994-A9B0-F0AD83A5D20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F9A-4994-A9B0-F0AD83A5D20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F9A-4994-A9B0-F0AD83A5D20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F9A-4994-A9B0-F0AD83A5D203}"/>
              </c:ext>
            </c:extLst>
          </c:dPt>
          <c:dLbls>
            <c:dLbl>
              <c:idx val="0"/>
              <c:layout>
                <c:manualLayout>
                  <c:x val="-5.0413705310314361E-2"/>
                  <c:y val="-2.100221366834454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A-8F9A-4994-A9B0-F0AD83A5D203}"/>
                </c:ext>
              </c:extLst>
            </c:dLbl>
            <c:dLbl>
              <c:idx val="1"/>
              <c:layout>
                <c:manualLayout>
                  <c:x val="6.448303377441704E-2"/>
                  <c:y val="-7.1626975734247001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A5A5A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B-8F9A-4994-A9B0-F0AD83A5D203}"/>
                </c:ext>
              </c:extLst>
            </c:dLbl>
            <c:dLbl>
              <c:idx val="2"/>
              <c:layout>
                <c:manualLayout>
                  <c:x val="7.2543412996219081E-2"/>
                  <c:y val="7.878967330767169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C-8F9A-4994-A9B0-F0AD83A5D203}"/>
                </c:ext>
              </c:extLst>
            </c:dLbl>
            <c:dLbl>
              <c:idx val="3"/>
              <c:layout>
                <c:manualLayout>
                  <c:x val="4.4332085719911658E-2"/>
                  <c:y val="0.1325099051083569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>
                      <a:lumMod val="6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D-8F9A-4994-A9B0-F0AD83A5D203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A5A5A5">
                      <a:lumMod val="6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E-8F9A-4994-A9B0-F0AD83A5D203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rgbClr val="5B9BD5">
                      <a:lumMod val="6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F-8F9A-4994-A9B0-F0AD83A5D203}"/>
                </c:ext>
              </c:extLst>
            </c:dLbl>
            <c:dLbl>
              <c:idx val="6"/>
              <c:layout>
                <c:manualLayout>
                  <c:x val="-3.6271706498109541E-2"/>
                  <c:y val="-1.074404636013718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>
                      <a:lumMod val="80000"/>
                      <a:lumOff val="2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0-8F9A-4994-A9B0-F0AD83A5D203}"/>
                </c:ext>
              </c:extLst>
            </c:dLbl>
            <c:dLbl>
              <c:idx val="7"/>
              <c:layout>
                <c:manualLayout>
                  <c:x val="-5.2392464941713797E-2"/>
                  <c:y val="-2.8650790293698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A5A5A5">
                      <a:lumMod val="80000"/>
                      <a:lumOff val="2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1-8F9A-4994-A9B0-F0AD83A5D203}"/>
                </c:ext>
              </c:extLst>
            </c:dLbl>
            <c:dLbl>
              <c:idx val="8"/>
              <c:layout>
                <c:manualLayout>
                  <c:x val="-5.4407559747164311E-2"/>
                  <c:y val="-3.581348786712350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>
                      <a:lumMod val="80000"/>
                      <a:lumOff val="2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2-8F9A-4994-A9B0-F0AD83A5D203}"/>
                </c:ext>
              </c:extLst>
            </c:dLbl>
            <c:dLbl>
              <c:idx val="9"/>
              <c:spPr>
                <a:solidFill>
                  <a:sysClr val="window" lastClr="FFFFFF"/>
                </a:solidFill>
                <a:ln>
                  <a:solidFill>
                    <a:srgbClr val="4472C4">
                      <a:lumMod val="8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3-8F9A-4994-A9B0-F0AD83A5D203}"/>
                </c:ext>
              </c:extLst>
            </c:dLbl>
            <c:dLbl>
              <c:idx val="10"/>
              <c:layout>
                <c:manualLayout>
                  <c:x val="-0.14445032577101574"/>
                  <c:y val="8.04588074390536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A5A5A5">
                      <a:lumMod val="8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493152123172944"/>
                      <c:h val="0.123526478502785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F9A-4994-A9B0-F0AD83A5D203}"/>
                </c:ext>
              </c:extLst>
            </c:dLbl>
            <c:spPr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'2023-24 Portfolio "Dashboard"'!$A$25:$A$35</c:f>
              <c:strCache>
                <c:ptCount val="11"/>
                <c:pt idx="0">
                  <c:v>Flights</c:v>
                </c:pt>
                <c:pt idx="1">
                  <c:v>Gas</c:v>
                </c:pt>
                <c:pt idx="2">
                  <c:v>Gas Station Food</c:v>
                </c:pt>
                <c:pt idx="3">
                  <c:v>Reg. Store </c:v>
                </c:pt>
                <c:pt idx="4">
                  <c:v>Restaurants</c:v>
                </c:pt>
                <c:pt idx="5">
                  <c:v>Bars </c:v>
                </c:pt>
                <c:pt idx="6">
                  <c:v>Activities</c:v>
                </c:pt>
                <c:pt idx="7">
                  <c:v>Gifts </c:v>
                </c:pt>
                <c:pt idx="8">
                  <c:v>Other</c:v>
                </c:pt>
                <c:pt idx="9">
                  <c:v>School</c:v>
                </c:pt>
                <c:pt idx="10">
                  <c:v>Reacuuring Investments</c:v>
                </c:pt>
              </c:strCache>
            </c:strRef>
          </c:cat>
          <c:val>
            <c:numRef>
              <c:f>'2023-24 Portfolio "Dashboard"'!$N$25:$N$35</c:f>
              <c:numCache>
                <c:formatCode>"$"#,##0.00</c:formatCode>
                <c:ptCount val="11"/>
                <c:pt idx="0">
                  <c:v>-612.12</c:v>
                </c:pt>
                <c:pt idx="1">
                  <c:v>-1263.31</c:v>
                </c:pt>
                <c:pt idx="2">
                  <c:v>-1157.58</c:v>
                </c:pt>
                <c:pt idx="3">
                  <c:v>-1925.26</c:v>
                </c:pt>
                <c:pt idx="4">
                  <c:v>-3796.67</c:v>
                </c:pt>
                <c:pt idx="5">
                  <c:v>-2205.39</c:v>
                </c:pt>
                <c:pt idx="6">
                  <c:v>-2699.49</c:v>
                </c:pt>
                <c:pt idx="7">
                  <c:v>-328.18</c:v>
                </c:pt>
                <c:pt idx="8">
                  <c:v>-2132.41</c:v>
                </c:pt>
                <c:pt idx="9">
                  <c:v>-5893.13</c:v>
                </c:pt>
                <c:pt idx="10">
                  <c:v>-1144.2200000000003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A-4994-A9B0-F0AD83A5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'2023-24 Portfolio "Dashboard"'!$A$25:$A$35</c:f>
              <c:strCache>
                <c:ptCount val="11"/>
                <c:pt idx="0">
                  <c:v>Flights</c:v>
                </c:pt>
                <c:pt idx="1">
                  <c:v>Gas</c:v>
                </c:pt>
                <c:pt idx="2">
                  <c:v>Gas Station Food</c:v>
                </c:pt>
                <c:pt idx="3">
                  <c:v>Reg. Store </c:v>
                </c:pt>
                <c:pt idx="4">
                  <c:v>Restaurants</c:v>
                </c:pt>
                <c:pt idx="5">
                  <c:v>Bars </c:v>
                </c:pt>
                <c:pt idx="6">
                  <c:v>Activities</c:v>
                </c:pt>
                <c:pt idx="7">
                  <c:v>Gifts </c:v>
                </c:pt>
                <c:pt idx="8">
                  <c:v>Other</c:v>
                </c:pt>
                <c:pt idx="9">
                  <c:v>School</c:v>
                </c:pt>
                <c:pt idx="10">
                  <c:v>Reacuuring Investments</c:v>
                </c:pt>
              </c:strCache>
            </c:strRef>
          </c:cat>
          <c:val>
            <c:numRef>
              <c:f>'2023-24 Portfolio "Dashboard"'!$N$25:$N$35</c:f>
              <c:numCache>
                <c:formatCode>"$"#,##0.00</c:formatCode>
                <c:ptCount val="11"/>
                <c:pt idx="0">
                  <c:v>-612.12</c:v>
                </c:pt>
                <c:pt idx="1">
                  <c:v>-1263.31</c:v>
                </c:pt>
                <c:pt idx="2">
                  <c:v>-1157.58</c:v>
                </c:pt>
                <c:pt idx="3">
                  <c:v>-1925.26</c:v>
                </c:pt>
                <c:pt idx="4">
                  <c:v>-3796.67</c:v>
                </c:pt>
                <c:pt idx="5">
                  <c:v>-2205.39</c:v>
                </c:pt>
                <c:pt idx="6">
                  <c:v>-2699.49</c:v>
                </c:pt>
                <c:pt idx="7">
                  <c:v>-328.18</c:v>
                </c:pt>
                <c:pt idx="8">
                  <c:v>-2132.41</c:v>
                </c:pt>
                <c:pt idx="9">
                  <c:v>-5893.13</c:v>
                </c:pt>
                <c:pt idx="10">
                  <c:v>-1144.2200000000003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6-4C6F-ADEA-36638854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678594207"/>
        <c:axId val="678593247"/>
      </c:barChart>
      <c:catAx>
        <c:axId val="67859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93247"/>
        <c:crosses val="autoZero"/>
        <c:auto val="1"/>
        <c:lblAlgn val="ctr"/>
        <c:lblOffset val="100"/>
        <c:noMultiLvlLbl val="0"/>
      </c:catAx>
      <c:valAx>
        <c:axId val="678593247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9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44546A"/>
                </a:solidFill>
              </a:rPr>
              <a:t>Monthly Income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AFABAB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'2023-24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'2023-24 Portfolio "Dashboard"'!$B$10:$B$21</c:f>
              <c:numCache>
                <c:formatCode>"$"#,##0.00</c:formatCode>
                <c:ptCount val="12"/>
                <c:pt idx="0">
                  <c:v>-1741.25</c:v>
                </c:pt>
                <c:pt idx="1">
                  <c:v>-1727.68</c:v>
                </c:pt>
                <c:pt idx="2">
                  <c:v>-1866.7399999999998</c:v>
                </c:pt>
                <c:pt idx="3">
                  <c:v>-911.94999999999993</c:v>
                </c:pt>
                <c:pt idx="4">
                  <c:v>-996.32</c:v>
                </c:pt>
                <c:pt idx="5">
                  <c:v>-963.7</c:v>
                </c:pt>
                <c:pt idx="6">
                  <c:v>-1835.44</c:v>
                </c:pt>
                <c:pt idx="7">
                  <c:v>-869.93</c:v>
                </c:pt>
                <c:pt idx="8">
                  <c:v>-2345.87</c:v>
                </c:pt>
                <c:pt idx="9">
                  <c:v>-1581.39</c:v>
                </c:pt>
                <c:pt idx="10">
                  <c:v>-1280.1399999999999</c:v>
                </c:pt>
                <c:pt idx="11">
                  <c:v>-1674.6799999999998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8B6-4543-874E-517AB1E32A86}"/>
            </c:ext>
          </c:extLst>
        </c:ser>
        <c:ser>
          <c:idx val="1"/>
          <c:order val="1"/>
          <c:spPr>
            <a:gradFill>
              <a:gsLst>
                <a:gs pos="0">
                  <a:srgbClr val="EAEFF8"/>
                </a:gs>
                <a:gs pos="25720">
                  <a:srgbClr val="DCE5F4"/>
                </a:gs>
                <a:gs pos="52170">
                  <a:srgbClr val="C1D1EB"/>
                </a:gs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'2023-24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'2023-24 Portfolio "Dashboard"'!$C$10:$C$21</c:f>
              <c:numCache>
                <c:formatCode>"$"#,##0.00</c:formatCode>
                <c:ptCount val="12"/>
                <c:pt idx="0">
                  <c:v>2590.25</c:v>
                </c:pt>
                <c:pt idx="1">
                  <c:v>1657</c:v>
                </c:pt>
                <c:pt idx="2">
                  <c:v>3038.75</c:v>
                </c:pt>
                <c:pt idx="3">
                  <c:v>2964.25</c:v>
                </c:pt>
                <c:pt idx="4">
                  <c:v>3298</c:v>
                </c:pt>
                <c:pt idx="5">
                  <c:v>3322.25</c:v>
                </c:pt>
                <c:pt idx="6">
                  <c:v>1526.625</c:v>
                </c:pt>
                <c:pt idx="7">
                  <c:v>2044.5</c:v>
                </c:pt>
                <c:pt idx="8">
                  <c:v>1763.875</c:v>
                </c:pt>
                <c:pt idx="9">
                  <c:v>2869.625</c:v>
                </c:pt>
                <c:pt idx="10">
                  <c:v>2336.75</c:v>
                </c:pt>
                <c:pt idx="11">
                  <c:v>992.5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6-4543-874E-517AB1E32A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2989711"/>
        <c:axId val="298497295"/>
      </c:barChart>
      <c:catAx>
        <c:axId val="10298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97295"/>
        <c:crosses val="autoZero"/>
        <c:auto val="1"/>
        <c:lblAlgn val="ctr"/>
        <c:lblOffset val="100"/>
        <c:noMultiLvlLbl val="0"/>
      </c:catAx>
      <c:valAx>
        <c:axId val="2984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Monthly Income</a:t>
            </a:r>
            <a:r>
              <a:rPr lang="en-US" baseline="0">
                <a:solidFill>
                  <a:schemeClr val="accent1">
                    <a:lumMod val="50000"/>
                  </a:schemeClr>
                </a:solidFill>
              </a:rPr>
              <a:t> vs. Expenses 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85850935471111"/>
          <c:y val="0.12406574866799383"/>
          <c:w val="0.88543941466076881"/>
          <c:h val="0.83561765203282812"/>
        </c:manualLayout>
      </c:layout>
      <c:lineChart>
        <c:grouping val="standard"/>
        <c:varyColors val="0"/>
        <c:ser>
          <c:idx val="0"/>
          <c:order val="0"/>
          <c:tx>
            <c:strRef>
              <c:f>'2022-23 Portfolio "Dashboard"'!$B$9</c:f>
              <c:strCache>
                <c:ptCount val="1"/>
                <c:pt idx="0">
                  <c:v>Expenses</c:v>
                </c:pt>
              </c:strCache>
            </c:strRef>
          </c:tx>
          <c:spPr>
            <a:ln w="3175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50000"/>
                </a:schemeClr>
              </a:solidFill>
              <a:ln w="9525" cap="flat" cmpd="sng" algn="ctr">
                <a:noFill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356455068118627E-2"/>
                  <c:y val="5.0186674851734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B3-4E3C-8317-A0B2D209E5F2}"/>
                </c:ext>
              </c:extLst>
            </c:dLbl>
            <c:dLbl>
              <c:idx val="1"/>
              <c:layout>
                <c:manualLayout>
                  <c:x val="-5.162345721279768E-2"/>
                  <c:y val="7.1683763717089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B3-4E3C-8317-A0B2D209E5F2}"/>
                </c:ext>
              </c:extLst>
            </c:dLbl>
            <c:dLbl>
              <c:idx val="2"/>
              <c:layout>
                <c:manualLayout>
                  <c:x val="-5.3564550681186249E-2"/>
                  <c:y val="5.37695229959605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B3-4E3C-8317-A0B2D209E5F2}"/>
                </c:ext>
              </c:extLst>
            </c:dLbl>
            <c:dLbl>
              <c:idx val="3"/>
              <c:layout>
                <c:manualLayout>
                  <c:x val="-3.1431194197383834E-2"/>
                  <c:y val="6.810091557286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B3-4E3C-8317-A0B2D209E5F2}"/>
                </c:ext>
              </c:extLst>
            </c:dLbl>
            <c:dLbl>
              <c:idx val="5"/>
              <c:layout>
                <c:manualLayout>
                  <c:x val="-7.025306356515594E-2"/>
                  <c:y val="3.9438130419057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B3-4E3C-8317-A0B2D209E5F2}"/>
                </c:ext>
              </c:extLst>
            </c:dLbl>
            <c:dLbl>
              <c:idx val="6"/>
              <c:layout>
                <c:manualLayout>
                  <c:x val="-6.9093298428295161E-2"/>
                  <c:y val="4.6603826707509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5B3-4E3C-8317-A0B2D209E5F2}"/>
                </c:ext>
              </c:extLst>
            </c:dLbl>
            <c:dLbl>
              <c:idx val="7"/>
              <c:layout>
                <c:manualLayout>
                  <c:x val="-5.6665409286435701E-2"/>
                  <c:y val="7.5266611861314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5B3-4E3C-8317-A0B2D209E5F2}"/>
                </c:ext>
              </c:extLst>
            </c:dLbl>
            <c:dLbl>
              <c:idx val="8"/>
              <c:layout>
                <c:manualLayout>
                  <c:x val="-5.7446737617963463E-2"/>
                  <c:y val="4.3020978563283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5B3-4E3C-8317-A0B2D209E5F2}"/>
                </c:ext>
              </c:extLst>
            </c:dLbl>
            <c:dLbl>
              <c:idx val="9"/>
              <c:layout>
                <c:manualLayout>
                  <c:x val="-3.8035802934077406E-2"/>
                  <c:y val="3.9438130419057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5B3-4E3C-8317-A0B2D209E5F2}"/>
                </c:ext>
              </c:extLst>
            </c:dLbl>
            <c:dLbl>
              <c:idx val="10"/>
              <c:layout>
                <c:manualLayout>
                  <c:x val="1.2432627244026323E-2"/>
                  <c:y val="2.1523889697929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5B3-4E3C-8317-A0B2D209E5F2}"/>
                </c:ext>
              </c:extLst>
            </c:dLbl>
            <c:dLbl>
              <c:idx val="11"/>
              <c:layout>
                <c:manualLayout>
                  <c:x val="-6.4851474252847138E-2"/>
                  <c:y val="1.435819340947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5B3-4E3C-8317-A0B2D209E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'2022-23 Portfolio "Dashboard"'!$B$10:$B$21</c:f>
              <c:numCache>
                <c:formatCode>"$"#,##0.00</c:formatCode>
                <c:ptCount val="12"/>
                <c:pt idx="0">
                  <c:v>-995.40000000000009</c:v>
                </c:pt>
                <c:pt idx="1">
                  <c:v>-1233.6999999999998</c:v>
                </c:pt>
                <c:pt idx="2">
                  <c:v>-881.65000000000009</c:v>
                </c:pt>
                <c:pt idx="3">
                  <c:v>-1516.86</c:v>
                </c:pt>
                <c:pt idx="4">
                  <c:v>-1375.68</c:v>
                </c:pt>
                <c:pt idx="5">
                  <c:v>-1206.44</c:v>
                </c:pt>
                <c:pt idx="6">
                  <c:v>-2427.13</c:v>
                </c:pt>
                <c:pt idx="7">
                  <c:v>-2015.38</c:v>
                </c:pt>
                <c:pt idx="8">
                  <c:v>-1031.8799999999999</c:v>
                </c:pt>
                <c:pt idx="9">
                  <c:v>-1984.8100000000002</c:v>
                </c:pt>
                <c:pt idx="10">
                  <c:v>-669.2</c:v>
                </c:pt>
                <c:pt idx="11">
                  <c:v>-1211.1400000000001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E3C-8317-A0B2D209E5F2}"/>
            </c:ext>
          </c:extLst>
        </c:ser>
        <c:ser>
          <c:idx val="1"/>
          <c:order val="1"/>
          <c:tx>
            <c:strRef>
              <c:f>'2022-23 Portfolio "Dashboard"'!$C$9</c:f>
              <c:strCache>
                <c:ptCount val="1"/>
                <c:pt idx="0">
                  <c:v>Gross Income</c:v>
                </c:pt>
              </c:strCache>
            </c:strRef>
          </c:tx>
          <c:spPr>
            <a:ln w="3175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50000"/>
                </a:schemeClr>
              </a:solidFill>
              <a:ln w="12700" cap="flat" cmpd="sng" algn="ctr">
                <a:noFill/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4.7008545702205085E-2"/>
                  <c:y val="-4.6550225042359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B3-4E3C-8317-A0B2D209E5F2}"/>
                </c:ext>
              </c:extLst>
            </c:dLbl>
            <c:dLbl>
              <c:idx val="2"/>
              <c:layout>
                <c:manualLayout>
                  <c:x val="-4.8949639170593723E-2"/>
                  <c:y val="5.37695229959606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B3-4E3C-8317-A0B2D209E5F2}"/>
                </c:ext>
              </c:extLst>
            </c:dLbl>
            <c:dLbl>
              <c:idx val="3"/>
              <c:layout>
                <c:manualLayout>
                  <c:x val="-7.0301667322868341E-2"/>
                  <c:y val="-4.2967376898133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B3-4E3C-8317-A0B2D209E5F2}"/>
                </c:ext>
              </c:extLst>
            </c:dLbl>
            <c:dLbl>
              <c:idx val="5"/>
              <c:layout>
                <c:manualLayout>
                  <c:x val="-6.8360573854479814E-2"/>
                  <c:y val="-4.6550225042359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B3-4E3C-8317-A0B2D209E5F2}"/>
                </c:ext>
              </c:extLst>
            </c:dLbl>
            <c:dLbl>
              <c:idx val="7"/>
              <c:layout>
                <c:manualLayout>
                  <c:x val="-4.8949639170593758E-2"/>
                  <c:y val="3.9438130419057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B3-4E3C-8317-A0B2D209E5F2}"/>
                </c:ext>
              </c:extLst>
            </c:dLbl>
            <c:dLbl>
              <c:idx val="9"/>
              <c:layout>
                <c:manualLayout>
                  <c:x val="-7.030166732286848E-2"/>
                  <c:y val="4.6603826707509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B3-4E3C-8317-A0B2D209E5F2}"/>
                </c:ext>
              </c:extLst>
            </c:dLbl>
            <c:dLbl>
              <c:idx val="11"/>
              <c:layout>
                <c:manualLayout>
                  <c:x val="-7.3513947750043409E-3"/>
                  <c:y val="4.6603826707509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B3-4E3C-8317-A0B2D209E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'2022-23 Portfolio "Dashboard"'!$C$10:$C$21</c:f>
              <c:numCache>
                <c:formatCode>"$"#,##0.00</c:formatCode>
                <c:ptCount val="12"/>
                <c:pt idx="0">
                  <c:v>1943.45</c:v>
                </c:pt>
                <c:pt idx="1">
                  <c:v>2782.5</c:v>
                </c:pt>
                <c:pt idx="2">
                  <c:v>2579.25</c:v>
                </c:pt>
                <c:pt idx="3">
                  <c:v>3384</c:v>
                </c:pt>
                <c:pt idx="4">
                  <c:v>1130</c:v>
                </c:pt>
                <c:pt idx="5">
                  <c:v>1189.5</c:v>
                </c:pt>
                <c:pt idx="6">
                  <c:v>1127</c:v>
                </c:pt>
                <c:pt idx="7">
                  <c:v>390</c:v>
                </c:pt>
                <c:pt idx="8">
                  <c:v>1041</c:v>
                </c:pt>
                <c:pt idx="9">
                  <c:v>1020</c:v>
                </c:pt>
                <c:pt idx="10">
                  <c:v>1840.5</c:v>
                </c:pt>
                <c:pt idx="11">
                  <c:v>2515.5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3-4E3C-8317-A0B2D209E5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208191"/>
        <c:axId val="150213471"/>
      </c:lineChart>
      <c:catAx>
        <c:axId val="15020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/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3471"/>
        <c:crosses val="autoZero"/>
        <c:auto val="1"/>
        <c:lblAlgn val="ctr"/>
        <c:lblOffset val="100"/>
        <c:noMultiLvlLbl val="0"/>
      </c:catAx>
      <c:valAx>
        <c:axId val="1502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8191"/>
        <c:crosses val="autoZero"/>
        <c:crossBetween val="between"/>
      </c:valAx>
      <c:spPr>
        <a:gradFill>
          <a:gsLst>
            <a:gs pos="726">
              <a:srgbClr val="F5F7FC"/>
            </a:gs>
            <a:gs pos="2186">
              <a:srgbClr val="F4F6FB"/>
            </a:gs>
            <a:gs pos="0">
              <a:srgbClr val="D5DFF1"/>
            </a:gs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solidFill>
                  <a:schemeClr val="accent1">
                    <a:lumMod val="50000"/>
                  </a:schemeClr>
                </a:solidFill>
                <a:effectLst/>
              </a:rPr>
              <a:t>Monthly Income vs. Expenses </a:t>
            </a:r>
            <a:endParaRPr lang="en-US">
              <a:solidFill>
                <a:schemeClr val="accent1">
                  <a:lumMod val="50000"/>
                </a:scheme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35580759708133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1D-415F-A48E-4C13B64A245F}"/>
                </c:ext>
              </c:extLst>
            </c:dLbl>
            <c:dLbl>
              <c:idx val="1"/>
              <c:layout>
                <c:manualLayout>
                  <c:x val="0"/>
                  <c:y val="-0.109930345709297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1D-415F-A48E-4C13B64A245F}"/>
                </c:ext>
              </c:extLst>
            </c:dLbl>
            <c:dLbl>
              <c:idx val="2"/>
              <c:layout>
                <c:manualLayout>
                  <c:x val="-2.01897839693119E-3"/>
                  <c:y val="-0.142909449422086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D1D-415F-A48E-4C13B64A245F}"/>
                </c:ext>
              </c:extLst>
            </c:dLbl>
            <c:dLbl>
              <c:idx val="3"/>
              <c:layout>
                <c:manualLayout>
                  <c:x val="2.0189783969311527E-3"/>
                  <c:y val="-0.1062660008523208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1D-415F-A48E-4C13B64A245F}"/>
                </c:ext>
              </c:extLst>
            </c:dLbl>
            <c:dLbl>
              <c:idx val="5"/>
              <c:layout>
                <c:manualLayout>
                  <c:x val="0"/>
                  <c:y val="-9.52729662813911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1D-415F-A48E-4C13B64A245F}"/>
                </c:ext>
              </c:extLst>
            </c:dLbl>
            <c:dLbl>
              <c:idx val="6"/>
              <c:layout>
                <c:manualLayout>
                  <c:x val="-2.0189783969312269E-3"/>
                  <c:y val="-0.120923380280227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D-415F-A48E-4C13B64A245F}"/>
                </c:ext>
              </c:extLst>
            </c:dLbl>
            <c:dLbl>
              <c:idx val="7"/>
              <c:layout>
                <c:manualLayout>
                  <c:x val="-4.0379567938622317E-3"/>
                  <c:y val="-9.89373111383676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1D-415F-A48E-4C13B64A245F}"/>
                </c:ext>
              </c:extLst>
            </c:dLbl>
            <c:dLbl>
              <c:idx val="8"/>
              <c:layout>
                <c:manualLayout>
                  <c:x val="-2.018978396931301E-3"/>
                  <c:y val="-0.15390248399301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1D-415F-A48E-4C13B64A245F}"/>
                </c:ext>
              </c:extLst>
            </c:dLbl>
            <c:dLbl>
              <c:idx val="9"/>
              <c:layout>
                <c:manualLayout>
                  <c:x val="0"/>
                  <c:y val="-0.135580759708133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1D-415F-A48E-4C13B64A245F}"/>
                </c:ext>
              </c:extLst>
            </c:dLbl>
            <c:dLbl>
              <c:idx val="10"/>
              <c:layout>
                <c:manualLayout>
                  <c:x val="-4.0379567938623054E-3"/>
                  <c:y val="-0.109930345709297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D-415F-A48E-4C13B64A245F}"/>
                </c:ext>
              </c:extLst>
            </c:dLbl>
            <c:dLbl>
              <c:idx val="11"/>
              <c:layout>
                <c:manualLayout>
                  <c:x val="-2.018978396931301E-3"/>
                  <c:y val="-0.168559863420922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1D-415F-A48E-4C13B64A24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'2022-23 Portfolio "Dashboard"'!$B$10:$B$21</c:f>
              <c:numCache>
                <c:formatCode>"$"#,##0.00</c:formatCode>
                <c:ptCount val="12"/>
                <c:pt idx="0">
                  <c:v>-995.40000000000009</c:v>
                </c:pt>
                <c:pt idx="1">
                  <c:v>-1233.6999999999998</c:v>
                </c:pt>
                <c:pt idx="2">
                  <c:v>-881.65000000000009</c:v>
                </c:pt>
                <c:pt idx="3">
                  <c:v>-1516.86</c:v>
                </c:pt>
                <c:pt idx="4">
                  <c:v>-1375.68</c:v>
                </c:pt>
                <c:pt idx="5">
                  <c:v>-1206.44</c:v>
                </c:pt>
                <c:pt idx="6">
                  <c:v>-2427.13</c:v>
                </c:pt>
                <c:pt idx="7">
                  <c:v>-2015.38</c:v>
                </c:pt>
                <c:pt idx="8">
                  <c:v>-1031.8799999999999</c:v>
                </c:pt>
                <c:pt idx="9">
                  <c:v>-1984.8100000000002</c:v>
                </c:pt>
                <c:pt idx="10">
                  <c:v>-669.2</c:v>
                </c:pt>
                <c:pt idx="11">
                  <c:v>-1211.1400000000001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D-415F-A48E-4C13B64A245F}"/>
            </c:ext>
          </c:extLst>
        </c:ser>
        <c:ser>
          <c:idx val="1"/>
          <c:order val="1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507088176407016E-17"/>
                  <c:y val="-6.22938625686018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D1D-415F-A48E-4C13B64A245F}"/>
                </c:ext>
              </c:extLst>
            </c:dLbl>
            <c:dLbl>
              <c:idx val="1"/>
              <c:layout>
                <c:manualLayout>
                  <c:x val="-2.01897839693119E-3"/>
                  <c:y val="-9.16086214244145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1D-415F-A48E-4C13B64A245F}"/>
                </c:ext>
              </c:extLst>
            </c:dLbl>
            <c:dLbl>
              <c:idx val="2"/>
              <c:layout>
                <c:manualLayout>
                  <c:x val="0"/>
                  <c:y val="-0.117259035423250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1D-415F-A48E-4C13B64A245F}"/>
                </c:ext>
              </c:extLst>
            </c:dLbl>
            <c:dLbl>
              <c:idx val="3"/>
              <c:layout>
                <c:manualLayout>
                  <c:x val="4.0379567938622317E-3"/>
                  <c:y val="-8.42799317104613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D1D-415F-A48E-4C13B64A245F}"/>
                </c:ext>
              </c:extLst>
            </c:dLbl>
            <c:dLbl>
              <c:idx val="5"/>
              <c:layout>
                <c:manualLayout>
                  <c:x val="-7.4028352705628063E-17"/>
                  <c:y val="-0.131916414851156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1D-415F-A48E-4C13B64A245F}"/>
                </c:ext>
              </c:extLst>
            </c:dLbl>
            <c:dLbl>
              <c:idx val="6"/>
              <c:layout>
                <c:manualLayout>
                  <c:x val="-4.03795679386238E-3"/>
                  <c:y val="-0.179552897991852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1D-415F-A48E-4C13B64A245F}"/>
                </c:ext>
              </c:extLst>
            </c:dLbl>
            <c:dLbl>
              <c:idx val="7"/>
              <c:layout>
                <c:manualLayout>
                  <c:x val="-7.4028352705628063E-17"/>
                  <c:y val="-0.164895518563946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1D-415F-A48E-4C13B64A245F}"/>
                </c:ext>
              </c:extLst>
            </c:dLbl>
            <c:dLbl>
              <c:idx val="8"/>
              <c:layout>
                <c:manualLayout>
                  <c:x val="-1.4805670541125613E-16"/>
                  <c:y val="-0.212532001704641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1D-415F-A48E-4C13B64A245F}"/>
                </c:ext>
              </c:extLst>
            </c:dLbl>
            <c:dLbl>
              <c:idx val="9"/>
              <c:layout>
                <c:manualLayout>
                  <c:x val="0"/>
                  <c:y val="-8.06155868534847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D-415F-A48E-4C13B64A245F}"/>
                </c:ext>
              </c:extLst>
            </c:dLbl>
            <c:dLbl>
              <c:idx val="10"/>
              <c:layout>
                <c:manualLayout>
                  <c:x val="-1.4805670541125613E-16"/>
                  <c:y val="-9.89373111383676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1D-415F-A48E-4C13B64A245F}"/>
                </c:ext>
              </c:extLst>
            </c:dLbl>
            <c:dLbl>
              <c:idx val="11"/>
              <c:layout>
                <c:manualLayout>
                  <c:x val="6.0569351907934586E-3"/>
                  <c:y val="-8.79442765674379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D-415F-A48E-4C13B64A24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"Dashboard"'!$A$10:$A$21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 </c:v>
                </c:pt>
                <c:pt idx="8">
                  <c:v>February 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'2022-23 Portfolio "Dashboard"'!$C$10:$C$21</c:f>
              <c:numCache>
                <c:formatCode>"$"#,##0.00</c:formatCode>
                <c:ptCount val="12"/>
                <c:pt idx="0">
                  <c:v>1943.45</c:v>
                </c:pt>
                <c:pt idx="1">
                  <c:v>2782.5</c:v>
                </c:pt>
                <c:pt idx="2">
                  <c:v>2579.25</c:v>
                </c:pt>
                <c:pt idx="3">
                  <c:v>3384</c:v>
                </c:pt>
                <c:pt idx="4">
                  <c:v>1130</c:v>
                </c:pt>
                <c:pt idx="5">
                  <c:v>1189.5</c:v>
                </c:pt>
                <c:pt idx="6">
                  <c:v>1127</c:v>
                </c:pt>
                <c:pt idx="7">
                  <c:v>390</c:v>
                </c:pt>
                <c:pt idx="8">
                  <c:v>1041</c:v>
                </c:pt>
                <c:pt idx="9">
                  <c:v>1020</c:v>
                </c:pt>
                <c:pt idx="10">
                  <c:v>1840.5</c:v>
                </c:pt>
                <c:pt idx="11">
                  <c:v>2515.5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D-415F-A48E-4C13B64A24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0201951"/>
        <c:axId val="150211551"/>
      </c:barChart>
      <c:catAx>
        <c:axId val="1502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1551"/>
        <c:crosses val="autoZero"/>
        <c:auto val="1"/>
        <c:lblAlgn val="ctr"/>
        <c:lblOffset val="100"/>
        <c:noMultiLvlLbl val="0"/>
      </c:catAx>
      <c:valAx>
        <c:axId val="1502115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Crypto Asset Ledger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"Dashboard"'!$A$38:$A$49</c:f>
              <c:strCache>
                <c:ptCount val="12"/>
                <c:pt idx="0">
                  <c:v>Crypto Exchanges</c:v>
                </c:pt>
                <c:pt idx="1">
                  <c:v>Crypto Wallets</c:v>
                </c:pt>
                <c:pt idx="2">
                  <c:v>Crypto Staking</c:v>
                </c:pt>
                <c:pt idx="3">
                  <c:v>Crypto App Miners</c:v>
                </c:pt>
                <c:pt idx="4">
                  <c:v>GPU/CPU &amp; Data Miners</c:v>
                </c:pt>
                <c:pt idx="5">
                  <c:v>NFT Accounts</c:v>
                </c:pt>
                <c:pt idx="6">
                  <c:v>Investment Apps</c:v>
                </c:pt>
                <c:pt idx="7">
                  <c:v>Crypto Faucets/Surveys</c:v>
                </c:pt>
                <c:pt idx="8">
                  <c:v>Paid Tasks/Survey Apps</c:v>
                </c:pt>
                <c:pt idx="9">
                  <c:v>Receipts </c:v>
                </c:pt>
                <c:pt idx="10">
                  <c:v>App Miners</c:v>
                </c:pt>
                <c:pt idx="11">
                  <c:v>Driving &amp; Fitness Apps</c:v>
                </c:pt>
              </c:strCache>
            </c:strRef>
          </c:cat>
          <c:val>
            <c:numRef>
              <c:f>'2022-23 Portfolio "Dashboard"'!$B$38:$B$49</c:f>
              <c:numCache>
                <c:formatCode>"$"#,##0.00</c:formatCode>
                <c:ptCount val="12"/>
                <c:pt idx="0">
                  <c:v>934.9890649294</c:v>
                </c:pt>
                <c:pt idx="1">
                  <c:v>295.56258873693787</c:v>
                </c:pt>
                <c:pt idx="2">
                  <c:v>29.5318279</c:v>
                </c:pt>
                <c:pt idx="3">
                  <c:v>966.95465283778492</c:v>
                </c:pt>
                <c:pt idx="4">
                  <c:v>223.22833449999999</c:v>
                </c:pt>
                <c:pt idx="5">
                  <c:v>68.120764386730016</c:v>
                </c:pt>
                <c:pt idx="6">
                  <c:v>220.46</c:v>
                </c:pt>
                <c:pt idx="7">
                  <c:v>188.72858739999998</c:v>
                </c:pt>
                <c:pt idx="8">
                  <c:v>41.604999999999997</c:v>
                </c:pt>
                <c:pt idx="9">
                  <c:v>181.69794096601072</c:v>
                </c:pt>
                <c:pt idx="10">
                  <c:v>966.95465283778492</c:v>
                </c:pt>
                <c:pt idx="11">
                  <c:v>131.22816089390003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9-4BC5-BDD5-96E30B2B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2420335"/>
        <c:axId val="632418415"/>
      </c:barChart>
      <c:catAx>
        <c:axId val="6324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18415"/>
        <c:crosses val="autoZero"/>
        <c:auto val="1"/>
        <c:lblAlgn val="ctr"/>
        <c:lblOffset val="100"/>
        <c:noMultiLvlLbl val="0"/>
      </c:catAx>
      <c:valAx>
        <c:axId val="63241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2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DAF-49F8-92CD-6820449AE03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AF-49F8-92CD-6820449AE038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DAF-49F8-92CD-6820449AE038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AF-49F8-92CD-6820449AE038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DAF-49F8-92CD-6820449AE038}"/>
              </c:ext>
            </c:extLst>
          </c:dPt>
          <c:dPt>
            <c:idx val="5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AF-49F8-92CD-6820449AE0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DAF-49F8-92CD-6820449AE038}"/>
              </c:ext>
            </c:extLst>
          </c:dPt>
          <c:dPt>
            <c:idx val="7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AF-49F8-92CD-6820449AE038}"/>
              </c:ext>
            </c:extLst>
          </c:dPt>
          <c:dPt>
            <c:idx val="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DAF-49F8-92CD-6820449AE038}"/>
              </c:ext>
            </c:extLst>
          </c:dPt>
          <c:dPt>
            <c:idx val="9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AF-49F8-92CD-6820449AE0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DAF-49F8-92CD-6820449AE038}"/>
              </c:ext>
            </c:extLst>
          </c:dPt>
          <c:dLbls>
            <c:dLbl>
              <c:idx val="0"/>
              <c:layout>
                <c:manualLayout>
                  <c:x val="0"/>
                  <c:y val="-1.91784669609378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F-49F8-92CD-6820449AE038}"/>
                </c:ext>
              </c:extLst>
            </c:dLbl>
            <c:dLbl>
              <c:idx val="1"/>
              <c:layout>
                <c:manualLayout>
                  <c:x val="1.8231164345153983E-2"/>
                  <c:y val="-7.67138678437513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F-49F8-92CD-6820449AE038}"/>
                </c:ext>
              </c:extLst>
            </c:dLbl>
            <c:dLbl>
              <c:idx val="2"/>
              <c:layout>
                <c:manualLayout>
                  <c:x val="9.1155821725769914E-3"/>
                  <c:y val="1.53427735687502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F-49F8-92CD-6820449AE038}"/>
                </c:ext>
              </c:extLst>
            </c:dLbl>
            <c:dLbl>
              <c:idx val="3"/>
              <c:layout>
                <c:manualLayout>
                  <c:x val="1.1394477715721239E-2"/>
                  <c:y val="7.67138678437513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AF-49F8-92CD-6820449AE038}"/>
                </c:ext>
              </c:extLst>
            </c:dLbl>
            <c:dLbl>
              <c:idx val="4"/>
              <c:layout>
                <c:manualLayout>
                  <c:x val="6.8366866294326594E-3"/>
                  <c:y val="7.67138678437513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AF-49F8-92CD-6820449AE038}"/>
                </c:ext>
              </c:extLst>
            </c:dLbl>
            <c:dLbl>
              <c:idx val="5"/>
              <c:layout>
                <c:manualLayout>
                  <c:x val="1.3673373258865487E-2"/>
                  <c:y val="1.15070801765627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AF-49F8-92CD-6820449AE038}"/>
                </c:ext>
              </c:extLst>
            </c:dLbl>
            <c:dLbl>
              <c:idx val="6"/>
              <c:layout>
                <c:manualLayout>
                  <c:x val="-2.2788955431442895E-3"/>
                  <c:y val="1.53427735687502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F-49F8-92CD-6820449AE038}"/>
                </c:ext>
              </c:extLst>
            </c:dLbl>
            <c:dLbl>
              <c:idx val="7"/>
              <c:layout>
                <c:manualLayout>
                  <c:x val="-9.1155821725770331E-3"/>
                  <c:y val="7.67138678437513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AF-49F8-92CD-6820449AE038}"/>
                </c:ext>
              </c:extLst>
            </c:dLbl>
            <c:dLbl>
              <c:idx val="8"/>
              <c:layout>
                <c:manualLayout>
                  <c:x val="-4.5577910862884957E-3"/>
                  <c:y val="7.6713867843749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AF-49F8-92CD-6820449AE038}"/>
                </c:ext>
              </c:extLst>
            </c:dLbl>
            <c:dLbl>
              <c:idx val="9"/>
              <c:layout>
                <c:manualLayout>
                  <c:x val="-6.8366866294327644E-3"/>
                  <c:y val="-3.516011658905221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AF-49F8-92CD-6820449AE038}"/>
                </c:ext>
              </c:extLst>
            </c:dLbl>
            <c:dLbl>
              <c:idx val="10"/>
              <c:layout>
                <c:manualLayout>
                  <c:x val="-4.1020119776596461E-2"/>
                  <c:y val="6.13710942750010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06540609649416"/>
                      <c:h val="0.15195114474306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DAF-49F8-92CD-6820449AE03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'2022-23 Portfolio "Dashboard"'!$A$25:$A$35</c:f>
              <c:strCache>
                <c:ptCount val="11"/>
                <c:pt idx="0">
                  <c:v>Flights</c:v>
                </c:pt>
                <c:pt idx="1">
                  <c:v>Gas</c:v>
                </c:pt>
                <c:pt idx="2">
                  <c:v>Gas Station Food</c:v>
                </c:pt>
                <c:pt idx="3">
                  <c:v>Reg. Store </c:v>
                </c:pt>
                <c:pt idx="4">
                  <c:v>Restaurants</c:v>
                </c:pt>
                <c:pt idx="5">
                  <c:v>Bars </c:v>
                </c:pt>
                <c:pt idx="6">
                  <c:v>Activities</c:v>
                </c:pt>
                <c:pt idx="7">
                  <c:v>Gifts </c:v>
                </c:pt>
                <c:pt idx="8">
                  <c:v>Other</c:v>
                </c:pt>
                <c:pt idx="9">
                  <c:v>School</c:v>
                </c:pt>
                <c:pt idx="10">
                  <c:v>Reacuuring Investments</c:v>
                </c:pt>
              </c:strCache>
            </c:strRef>
          </c:cat>
          <c:val>
            <c:numRef>
              <c:f>'2022-23 Portfolio "Dashboard"'!$N$25:$N$35</c:f>
              <c:numCache>
                <c:formatCode>General</c:formatCode>
                <c:ptCount val="11"/>
                <c:pt idx="0">
                  <c:v>-762.4</c:v>
                </c:pt>
                <c:pt idx="1">
                  <c:v>-1458.1799999999998</c:v>
                </c:pt>
                <c:pt idx="2">
                  <c:v>-1382.2500000000005</c:v>
                </c:pt>
                <c:pt idx="3">
                  <c:v>-1688.65</c:v>
                </c:pt>
                <c:pt idx="4">
                  <c:v>-4412.55</c:v>
                </c:pt>
                <c:pt idx="5">
                  <c:v>-1613.1</c:v>
                </c:pt>
                <c:pt idx="6">
                  <c:v>-831.2</c:v>
                </c:pt>
                <c:pt idx="7">
                  <c:v>-1658.46</c:v>
                </c:pt>
                <c:pt idx="8">
                  <c:v>-2642.0800000000008</c:v>
                </c:pt>
                <c:pt idx="9">
                  <c:v>-3126</c:v>
                </c:pt>
                <c:pt idx="10">
                  <c:v>-1614.8000000000002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F-49F8-92CD-6820449AE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'2022-23 Portfolio "Dashboard"'!$A$25:$A$35</c:f>
              <c:strCache>
                <c:ptCount val="11"/>
                <c:pt idx="0">
                  <c:v>Flights</c:v>
                </c:pt>
                <c:pt idx="1">
                  <c:v>Gas</c:v>
                </c:pt>
                <c:pt idx="2">
                  <c:v>Gas Station Food</c:v>
                </c:pt>
                <c:pt idx="3">
                  <c:v>Reg. Store </c:v>
                </c:pt>
                <c:pt idx="4">
                  <c:v>Restaurants</c:v>
                </c:pt>
                <c:pt idx="5">
                  <c:v>Bars </c:v>
                </c:pt>
                <c:pt idx="6">
                  <c:v>Activities</c:v>
                </c:pt>
                <c:pt idx="7">
                  <c:v>Gifts </c:v>
                </c:pt>
                <c:pt idx="8">
                  <c:v>Other</c:v>
                </c:pt>
                <c:pt idx="9">
                  <c:v>School</c:v>
                </c:pt>
                <c:pt idx="10">
                  <c:v>Reacuuring Investments</c:v>
                </c:pt>
              </c:strCache>
            </c:strRef>
          </c:cat>
          <c:val>
            <c:numRef>
              <c:f>'2022-23 Portfolio "Dashboard"'!$N$25:$N$35</c:f>
              <c:numCache>
                <c:formatCode>General</c:formatCode>
                <c:ptCount val="11"/>
                <c:pt idx="0">
                  <c:v>-762.4</c:v>
                </c:pt>
                <c:pt idx="1">
                  <c:v>-1458.1799999999998</c:v>
                </c:pt>
                <c:pt idx="2">
                  <c:v>-1382.2500000000005</c:v>
                </c:pt>
                <c:pt idx="3">
                  <c:v>-1688.65</c:v>
                </c:pt>
                <c:pt idx="4">
                  <c:v>-4412.55</c:v>
                </c:pt>
                <c:pt idx="5">
                  <c:v>-1613.1</c:v>
                </c:pt>
                <c:pt idx="6">
                  <c:v>-831.2</c:v>
                </c:pt>
                <c:pt idx="7">
                  <c:v>-1658.46</c:v>
                </c:pt>
                <c:pt idx="8">
                  <c:v>-2642.0800000000008</c:v>
                </c:pt>
                <c:pt idx="9">
                  <c:v>-3126</c:v>
                </c:pt>
                <c:pt idx="10">
                  <c:v>-1614.8000000000002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8-4997-B0C0-06A6469766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378923887"/>
        <c:axId val="378924367"/>
      </c:barChart>
      <c:catAx>
        <c:axId val="37892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24367"/>
        <c:crosses val="autoZero"/>
        <c:auto val="1"/>
        <c:lblAlgn val="ctr"/>
        <c:lblOffset val="100"/>
        <c:noMultiLvlLbl val="0"/>
      </c:catAx>
      <c:valAx>
        <c:axId val="37892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Crypto Assets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'Crypto Ledger Wallet'!$A$106:$A$117</c:f>
              <c:strCache>
                <c:ptCount val="12"/>
                <c:pt idx="0">
                  <c:v>Crypto Exchanges</c:v>
                </c:pt>
                <c:pt idx="1">
                  <c:v>Crypto Wallets</c:v>
                </c:pt>
                <c:pt idx="2">
                  <c:v>Crypto Staking</c:v>
                </c:pt>
                <c:pt idx="3">
                  <c:v>Crypto App Miners</c:v>
                </c:pt>
                <c:pt idx="4">
                  <c:v>GPU/CPU &amp; Data Miners</c:v>
                </c:pt>
                <c:pt idx="5">
                  <c:v>NFT Accounts</c:v>
                </c:pt>
                <c:pt idx="6">
                  <c:v>Investment Apps</c:v>
                </c:pt>
                <c:pt idx="7">
                  <c:v>Crypto Faucets/Surveys</c:v>
                </c:pt>
                <c:pt idx="8">
                  <c:v>Paid Tasks/Survey Apps</c:v>
                </c:pt>
                <c:pt idx="9">
                  <c:v>Receipts </c:v>
                </c:pt>
                <c:pt idx="10">
                  <c:v>App Miners</c:v>
                </c:pt>
                <c:pt idx="11">
                  <c:v>Driving &amp; Fitness Apps</c:v>
                </c:pt>
              </c:strCache>
            </c:strRef>
          </c:cat>
          <c:val>
            <c:numRef>
              <c:f>'Crypto Ledger Wallet'!$B$106:$B$117</c:f>
              <c:numCache>
                <c:formatCode>_("$"* #,##0.00_);_("$"* \(#,##0.00\);_("$"* "-"??_);_(@_)</c:formatCode>
                <c:ptCount val="12"/>
                <c:pt idx="0" formatCode="&quot;$&quot;#,##0.00_);[Red]\(&quot;$&quot;#,##0.00\)">
                  <c:v>934.9890649294</c:v>
                </c:pt>
                <c:pt idx="1">
                  <c:v>295.56258873693787</c:v>
                </c:pt>
                <c:pt idx="2">
                  <c:v>29.5318279</c:v>
                </c:pt>
                <c:pt idx="3">
                  <c:v>966.95465283778492</c:v>
                </c:pt>
                <c:pt idx="4">
                  <c:v>223.22833449999999</c:v>
                </c:pt>
                <c:pt idx="5">
                  <c:v>68.120764386730016</c:v>
                </c:pt>
                <c:pt idx="6">
                  <c:v>220.46</c:v>
                </c:pt>
                <c:pt idx="7">
                  <c:v>188.72858739999998</c:v>
                </c:pt>
                <c:pt idx="8">
                  <c:v>41.604999999999997</c:v>
                </c:pt>
                <c:pt idx="9">
                  <c:v>181.69794096601072</c:v>
                </c:pt>
                <c:pt idx="10">
                  <c:v>966.95465283778492</c:v>
                </c:pt>
                <c:pt idx="11">
                  <c:v>131.22816089390003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3-4D12-AB44-A026B799A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687648"/>
        <c:axId val="508688128"/>
      </c:barChart>
      <c:catAx>
        <c:axId val="5086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88128"/>
        <c:crosses val="autoZero"/>
        <c:auto val="1"/>
        <c:lblAlgn val="ctr"/>
        <c:lblOffset val="100"/>
        <c:noMultiLvlLbl val="0"/>
      </c:catAx>
      <c:valAx>
        <c:axId val="5086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Crypto Distribution</a:t>
            </a:r>
          </a:p>
        </c:rich>
      </c:tx>
      <c:layout>
        <c:manualLayout>
          <c:xMode val="edge"/>
          <c:yMode val="edge"/>
          <c:x val="0.42623488561581641"/>
          <c:y val="3.7873168127790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B2-4A03-9B90-ACC280F46BF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B2-4A03-9B90-ACC280F46BF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907-4805-9B67-05D3E88EE7F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07-4805-9B67-05D3E88EE7F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907-4805-9B67-05D3E88EE7F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07-4805-9B67-05D3E88EE7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07-4805-9B67-05D3E88EE7FE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907-4805-9B67-05D3E88EE7FE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907-4805-9B67-05D3E88EE7FE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07-4805-9B67-05D3E88EE7FE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07-4805-9B67-05D3E88EE7FE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907-4805-9B67-05D3E88EE7FE}"/>
              </c:ext>
            </c:extLst>
          </c:dPt>
          <c:dLbls>
            <c:dLbl>
              <c:idx val="2"/>
              <c:layout>
                <c:manualLayout>
                  <c:x val="-3.801202974628172E-2"/>
                  <c:y val="0.1123494646618406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7-4805-9B67-05D3E88EE7FE}"/>
                </c:ext>
              </c:extLst>
            </c:dLbl>
            <c:dLbl>
              <c:idx val="3"/>
              <c:layout>
                <c:manualLayout>
                  <c:x val="-5.8038713910761153E-2"/>
                  <c:y val="1.014824468220942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7-4805-9B67-05D3E88EE7FE}"/>
                </c:ext>
              </c:extLst>
            </c:dLbl>
            <c:dLbl>
              <c:idx val="4"/>
              <c:layout>
                <c:manualLayout>
                  <c:x val="-4.2218941382327208E-2"/>
                  <c:y val="-5.90408813640993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7-4805-9B67-05D3E88EE7FE}"/>
                </c:ext>
              </c:extLst>
            </c:dLbl>
            <c:dLbl>
              <c:idx val="5"/>
              <c:layout>
                <c:manualLayout>
                  <c:x val="-2.2937226596675402E-2"/>
                  <c:y val="1.11667195981587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7-4805-9B67-05D3E88EE7FE}"/>
                </c:ext>
              </c:extLst>
            </c:dLbl>
            <c:dLbl>
              <c:idx val="6"/>
              <c:layout>
                <c:manualLayout>
                  <c:x val="-8.2930664916885388E-2"/>
                  <c:y val="6.510829053183372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7-4805-9B67-05D3E88EE7FE}"/>
                </c:ext>
              </c:extLst>
            </c:dLbl>
            <c:dLbl>
              <c:idx val="7"/>
              <c:layout>
                <c:manualLayout>
                  <c:x val="-3.4336395450568678E-2"/>
                  <c:y val="3.335195061674314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7-4805-9B67-05D3E88EE7FE}"/>
                </c:ext>
              </c:extLst>
            </c:dLbl>
            <c:dLbl>
              <c:idx val="8"/>
              <c:layout>
                <c:manualLayout>
                  <c:x val="-0.15732217847769028"/>
                  <c:y val="1.573415979469881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7-4805-9B67-05D3E88EE7FE}"/>
                </c:ext>
              </c:extLst>
            </c:dLbl>
            <c:dLbl>
              <c:idx val="9"/>
              <c:layout>
                <c:manualLayout>
                  <c:x val="-0.12241666666666666"/>
                  <c:y val="-6.306732520743668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7-4805-9B67-05D3E88EE7FE}"/>
                </c:ext>
              </c:extLst>
            </c:dLbl>
            <c:dLbl>
              <c:idx val="10"/>
              <c:layout>
                <c:manualLayout>
                  <c:x val="-4.3967629046369201E-2"/>
                  <c:y val="-6.623737401392282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7-4805-9B67-05D3E88EE7FE}"/>
                </c:ext>
              </c:extLst>
            </c:dLbl>
            <c:dLbl>
              <c:idx val="11"/>
              <c:layout>
                <c:manualLayout>
                  <c:x val="1.6136701662292162E-2"/>
                  <c:y val="-6.305527872993624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7-4805-9B67-05D3E88EE7F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'Crypto Ledger Wallet'!$A$106:$A$117</c:f>
              <c:strCache>
                <c:ptCount val="12"/>
                <c:pt idx="0">
                  <c:v>Crypto Exchanges</c:v>
                </c:pt>
                <c:pt idx="1">
                  <c:v>Crypto Wallets</c:v>
                </c:pt>
                <c:pt idx="2">
                  <c:v>Crypto Staking</c:v>
                </c:pt>
                <c:pt idx="3">
                  <c:v>Crypto App Miners</c:v>
                </c:pt>
                <c:pt idx="4">
                  <c:v>GPU/CPU &amp; Data Miners</c:v>
                </c:pt>
                <c:pt idx="5">
                  <c:v>NFT Accounts</c:v>
                </c:pt>
                <c:pt idx="6">
                  <c:v>Investment Apps</c:v>
                </c:pt>
                <c:pt idx="7">
                  <c:v>Crypto Faucets/Surveys</c:v>
                </c:pt>
                <c:pt idx="8">
                  <c:v>Paid Tasks/Survey Apps</c:v>
                </c:pt>
                <c:pt idx="9">
                  <c:v>Receipts </c:v>
                </c:pt>
                <c:pt idx="10">
                  <c:v>App Miners</c:v>
                </c:pt>
                <c:pt idx="11">
                  <c:v>Driving &amp; Fitness Apps</c:v>
                </c:pt>
              </c:strCache>
            </c:strRef>
          </c:cat>
          <c:val>
            <c:numRef>
              <c:f>'Crypto Ledger Wallet'!$B$106:$B$117</c:f>
              <c:numCache>
                <c:formatCode>_("$"* #,##0.00_);_("$"* \(#,##0.00\);_("$"* "-"??_);_(@_)</c:formatCode>
                <c:ptCount val="12"/>
                <c:pt idx="0" formatCode="&quot;$&quot;#,##0.00_);[Red]\(&quot;$&quot;#,##0.00\)">
                  <c:v>934.9890649294</c:v>
                </c:pt>
                <c:pt idx="1">
                  <c:v>295.56258873693787</c:v>
                </c:pt>
                <c:pt idx="2">
                  <c:v>29.5318279</c:v>
                </c:pt>
                <c:pt idx="3">
                  <c:v>966.95465283778492</c:v>
                </c:pt>
                <c:pt idx="4">
                  <c:v>223.22833449999999</c:v>
                </c:pt>
                <c:pt idx="5">
                  <c:v>68.120764386730016</c:v>
                </c:pt>
                <c:pt idx="6">
                  <c:v>220.46</c:v>
                </c:pt>
                <c:pt idx="7">
                  <c:v>188.72858739999998</c:v>
                </c:pt>
                <c:pt idx="8">
                  <c:v>41.604999999999997</c:v>
                </c:pt>
                <c:pt idx="9">
                  <c:v>181.69794096601072</c:v>
                </c:pt>
                <c:pt idx="10">
                  <c:v>966.95465283778492</c:v>
                </c:pt>
                <c:pt idx="11">
                  <c:v>131.22816089390003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7-4805-9B67-05D3E88EE7F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1950</xdr:colOff>
      <xdr:row>4</xdr:row>
      <xdr:rowOff>0</xdr:rowOff>
    </xdr:from>
    <xdr:to>
      <xdr:col>9</xdr:col>
      <xdr:colOff>1080851</xdr:colOff>
      <xdr:row>23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7EDC25-9ADB-253D-2E33-2FFB64AB7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25402</xdr:colOff>
      <xdr:row>36</xdr:row>
      <xdr:rowOff>22860</xdr:rowOff>
    </xdr:from>
    <xdr:to>
      <xdr:col>6</xdr:col>
      <xdr:colOff>890765</xdr:colOff>
      <xdr:row>55</xdr:row>
      <xdr:rowOff>8819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2C451-BDBB-7066-3612-F611120E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882635</xdr:colOff>
      <xdr:row>36</xdr:row>
      <xdr:rowOff>20530</xdr:rowOff>
    </xdr:from>
    <xdr:to>
      <xdr:col>10</xdr:col>
      <xdr:colOff>1270000</xdr:colOff>
      <xdr:row>55</xdr:row>
      <xdr:rowOff>17639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D0B5BF-221C-E0FC-3774-080842C81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1248633</xdr:colOff>
      <xdr:row>36</xdr:row>
      <xdr:rowOff>9818</xdr:rowOff>
    </xdr:from>
    <xdr:to>
      <xdr:col>14</xdr:col>
      <xdr:colOff>943680</xdr:colOff>
      <xdr:row>55</xdr:row>
      <xdr:rowOff>17639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09D5C9-56B6-79AF-22A3-9AAE344D7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1081693</xdr:colOff>
      <xdr:row>3</xdr:row>
      <xdr:rowOff>108084</xdr:rowOff>
    </xdr:from>
    <xdr:to>
      <xdr:col>15</xdr:col>
      <xdr:colOff>0</xdr:colOff>
      <xdr:row>22</xdr:row>
      <xdr:rowOff>216169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EF12B9-C3A7-1EC3-C12B-0A949B1B4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2431</xdr:colOff>
      <xdr:row>4</xdr:row>
      <xdr:rowOff>1</xdr:rowOff>
    </xdr:from>
    <xdr:to>
      <xdr:col>9</xdr:col>
      <xdr:colOff>1071562</xdr:colOff>
      <xdr:row>22</xdr:row>
      <xdr:rowOff>171980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0862F8-3367-E619-6C2F-07C96A26F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1090563</xdr:colOff>
      <xdr:row>4</xdr:row>
      <xdr:rowOff>13230</xdr:rowOff>
    </xdr:from>
    <xdr:to>
      <xdr:col>15</xdr:col>
      <xdr:colOff>26458</xdr:colOff>
      <xdr:row>22</xdr:row>
      <xdr:rowOff>171980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AA04EC-365B-3E12-27E3-04FA658E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6348</xdr:colOff>
      <xdr:row>36</xdr:row>
      <xdr:rowOff>25053</xdr:rowOff>
    </xdr:from>
    <xdr:to>
      <xdr:col>7</xdr:col>
      <xdr:colOff>34636</xdr:colOff>
      <xdr:row>53</xdr:row>
      <xdr:rowOff>173182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F9F594-767F-2349-5DF2-B7AB7379F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48144</xdr:colOff>
      <xdr:row>36</xdr:row>
      <xdr:rowOff>32674</xdr:rowOff>
    </xdr:from>
    <xdr:to>
      <xdr:col>10</xdr:col>
      <xdr:colOff>1181445</xdr:colOff>
      <xdr:row>53</xdr:row>
      <xdr:rowOff>175722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0EA02A-22F0-628E-B4E3-7319DEE9A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1173826</xdr:colOff>
      <xdr:row>36</xdr:row>
      <xdr:rowOff>6465</xdr:rowOff>
    </xdr:from>
    <xdr:to>
      <xdr:col>15</xdr:col>
      <xdr:colOff>8658</xdr:colOff>
      <xdr:row>53</xdr:row>
      <xdr:rowOff>173182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5E5A82-CD0F-760B-DFD7-142695ABD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12746</xdr:colOff>
      <xdr:row>104</xdr:row>
      <xdr:rowOff>182614</xdr:rowOff>
    </xdr:from>
    <xdr:to>
      <xdr:col>6</xdr:col>
      <xdr:colOff>349931</xdr:colOff>
      <xdr:row>119</xdr:row>
      <xdr:rowOff>84503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77727-4CEE-DFB5-CE38-05172D8F8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333459</xdr:colOff>
      <xdr:row>104</xdr:row>
      <xdr:rowOff>183847</xdr:rowOff>
    </xdr:from>
    <xdr:to>
      <xdr:col>9</xdr:col>
      <xdr:colOff>549994</xdr:colOff>
      <xdr:row>119</xdr:row>
      <xdr:rowOff>41621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25672-B09F-4B54-4F98-77BD69E65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332DEB6-0126-4C45-AC76-D860E1D598F3}" name="Table35" displayName="Table35" ref="A95:G103" totalsRowShown="0">
  <autoFilter ref="A95:G103" xr:uid="{A332DEB6-0126-4C45-AC76-D860E1D598F3}"/>
  <tableColumns count="7">
    <tableColumn id="1" xr3:uid="{D639C901-5427-444C-BAD2-26EF440BD32E}" name="Receipt Apps"/>
    <tableColumn id="2" xr3:uid="{1D2AB33E-43EC-40D0-AE5A-C20600CC137C}" name="Start Date" dataDxfId="65"/>
    <tableColumn id="3" xr3:uid="{C6F3935A-F0AA-489D-A6F0-6C8BAB79F052}" name="Coin" dataDxfId="64"/>
    <tableColumn id="11" xr3:uid="{CB5FE9CF-C218-44BF-B5CE-182026C58E64}" name="Start Amount (Coin)" dataDxfId="63"/>
    <tableColumn id="10" xr3:uid="{441E5223-5D63-4749-87A3-4C63BDABBCD3}" name="Start Amount($)" dataDxfId="62" dataCellStyle="Currency"/>
    <tableColumn id="4" xr3:uid="{EF984F24-85E7-4B1F-92C6-40E7059D69F2}" name="Account Status (Coin)"/>
    <tableColumn id="5" xr3:uid="{2EB8C129-9D82-4C89-BA30-BE16483550A9}" name="Account Status ($)" dataCellStyle="Currency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CA905F9-FA70-458C-9391-371C026E52FD}" name="Table1450" displayName="Table1450" ref="A125:G126" totalsRowShown="0" headerRowDxfId="61">
  <autoFilter ref="A125:G126" xr:uid="{7CA905F9-FA70-458C-9391-371C026E52FD}"/>
  <tableColumns count="7">
    <tableColumn id="1" xr3:uid="{6FAF2A63-1CA4-4607-91D6-C3B1F70E15E7}" name="Faucet Accounts"/>
    <tableColumn id="2" xr3:uid="{0B502A6E-9BEC-4A4B-AC9E-A7B3EB3582FA}" name="Start Date" dataDxfId="60"/>
    <tableColumn id="3" xr3:uid="{41C77E35-B4E3-4016-B048-79033DAE307A}" name="Coin" dataDxfId="59"/>
    <tableColumn id="4" xr3:uid="{79F19FE9-5C8A-46FB-B9E6-8200669C09FB}" name="Start Amount (Coin)"/>
    <tableColumn id="5" xr3:uid="{70E86BA4-892E-4257-AB25-62BD61CC2F3F}" name="Start Amount($)" dataDxfId="58">
      <calculatedColumnFormula>Table1450[[#This Row],[Start Amount (Coin)]]*'Crypto Market Price Data'!$C$5</calculatedColumnFormula>
    </tableColumn>
    <tableColumn id="10" xr3:uid="{EF9479B5-4350-4047-88A9-62191F0B74AE}" name="Account Status (Coin)" dataDxfId="57"/>
    <tableColumn id="6" xr3:uid="{47B45CDE-5AA7-42E1-A301-5427B96C9450}" name="Account Status ($)" dataDxfId="56">
      <calculatedColumnFormula>Table1450[[#This Row],[Account Status (Coin)]]*'Crypto Market Price Data'!$C$5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73DE95-CC4F-44AB-8606-D6B39D9A032F}" name="Table2152" displayName="Table2152" ref="A106:G108" totalsRowShown="0">
  <autoFilter ref="A106:G108" xr:uid="{3A73DE95-CC4F-44AB-8606-D6B39D9A032F}"/>
  <tableColumns count="7">
    <tableColumn id="1" xr3:uid="{400C08D5-3279-4A06-9696-47C8EC51B2EC}" name="Survey Accounts"/>
    <tableColumn id="2" xr3:uid="{C6DE7460-C7B8-4050-A6AB-4083592D4F9D}" name="Start Date" dataDxfId="55"/>
    <tableColumn id="3" xr3:uid="{14DB9359-0F89-43B1-9F42-006329E073C3}" name="Coin" dataDxfId="54"/>
    <tableColumn id="4" xr3:uid="{7C293B39-4C35-4B34-B1A7-2FC41DDAAC54}" name="Start Amount (Coin)" dataDxfId="53" dataCellStyle="Currency"/>
    <tableColumn id="5" xr3:uid="{DF3A9933-D434-47FB-8144-09104ABEC893}" name="Start Amount($)" dataCellStyle="Currency">
      <calculatedColumnFormula>Table2152[[#This Row],[Start Amount (Coin)]]</calculatedColumnFormula>
    </tableColumn>
    <tableColumn id="9" xr3:uid="{18B89F0C-2A04-476A-9DBC-806800F5E535}" name="Account Status (Coin)" dataDxfId="52" dataCellStyle="Currency"/>
    <tableColumn id="6" xr3:uid="{1490FEBA-E606-4EE1-A2D2-8851B0983CA8}" name="Account Status ($)" dataCellStyle="Currency">
      <calculatedColumnFormula>Table2152[[#This Row],[Account Status (Coin)]]</calculatedColumnFormula>
    </tableColumn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6553059-A179-4936-AE0F-6BF7B717A665}" name="Table2553" displayName="Table2553" ref="A111:G122" totalsRowShown="0">
  <autoFilter ref="A111:G122" xr:uid="{E6553059-A179-4936-AE0F-6BF7B717A665}"/>
  <tableColumns count="7">
    <tableColumn id="1" xr3:uid="{927A6FE8-B7DD-4FAF-9741-7596753825B9}" name="App Offers"/>
    <tableColumn id="2" xr3:uid="{372D666B-D353-4950-A591-5CAD47006AF2}" name="Start Date" dataDxfId="51"/>
    <tableColumn id="3" xr3:uid="{2130FAC6-7A7D-45E9-8402-2AB9BE1B3453}" name="Last Paid Date" dataDxfId="50"/>
    <tableColumn id="4" xr3:uid="{8AA97436-6FDD-4A47-8BEE-3A7197C6BC82}" name="Coin" dataDxfId="49"/>
    <tableColumn id="5" xr3:uid="{86DCC048-88CF-4215-913D-766F9B175BF5}" name="Amount Claim ($)"/>
    <tableColumn id="7" xr3:uid="{2B0200D6-2D65-46A0-AD50-C8371B1858F4}" name="Amount Spent ($)" dataDxfId="48" dataCellStyle="Currency"/>
    <tableColumn id="6" xr3:uid="{46136229-5842-4EA4-9B32-BE5BC213131C}" name="Notes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3B25E0B-90FB-479B-A96D-97F30AE94814}" name="Table4458" displayName="Table4458" ref="A129:G134" totalsRowShown="0">
  <autoFilter ref="A129:G134" xr:uid="{83B25E0B-90FB-479B-A96D-97F30AE94814}"/>
  <tableColumns count="7">
    <tableColumn id="1" xr3:uid="{E023E01C-6945-4563-A0A9-39C51F011654}" name="NFT Claims"/>
    <tableColumn id="2" xr3:uid="{B543FB75-28CF-46F2-A414-50AA1283ABC3}" name="Start Date" dataDxfId="47"/>
    <tableColumn id="3" xr3:uid="{1D355675-3B37-4D71-B7BC-997F18B84EAF}" name="Coin" dataDxfId="46"/>
    <tableColumn id="4" xr3:uid="{50511C4F-B456-4174-8CDA-03AA62703B8A}" name="Start Amount (Coin)"/>
    <tableColumn id="5" xr3:uid="{5AA580ED-3AF6-4ED1-8978-DACA05E5B782}" name="Start Amount ($)"/>
    <tableColumn id="6" xr3:uid="{920DCEFD-077F-4865-96A4-B34050186897}" name="Account Status (Coin)"/>
    <tableColumn id="10" xr3:uid="{60A29FEB-EE64-490F-B6E8-87D0E1766B31}" name="Account Status ($)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2068576-AD00-4884-A937-D980F514376C}" name="Table4659" displayName="Table4659" ref="A137:G138" totalsRowShown="0">
  <autoFilter ref="A137:G138" xr:uid="{52068576-AD00-4884-A937-D980F514376C}"/>
  <tableColumns count="7">
    <tableColumn id="1" xr3:uid="{408E6A0F-B618-45C4-88A9-69FF563B35D2}" name="Crypto Miners"/>
    <tableColumn id="2" xr3:uid="{E51CB405-8FC4-4351-AD52-1C2B7A8A2225}" name="Start Date" dataDxfId="45"/>
    <tableColumn id="3" xr3:uid="{66BC5D94-7B6A-470A-B3D4-3216D24BD584}" name="Coin" dataDxfId="44"/>
    <tableColumn id="4" xr3:uid="{4DDB7D78-256D-4E70-931D-B3B051DE7C9D}" name="Start Amount (Coin)"/>
    <tableColumn id="9" xr3:uid="{95B168B8-0D79-4E86-8D70-72874B8F077B}" name="Start Amount ($)" dataCellStyle="Currency">
      <calculatedColumnFormula>Table4659[[#This Row],[Start Amount (Coin)]]*'Crypto Market Price Data'!$C$5</calculatedColumnFormula>
    </tableColumn>
    <tableColumn id="5" xr3:uid="{3C3F6033-664D-454C-8417-727B3E4E4701}" name="Account Status (Coin)"/>
    <tableColumn id="10" xr3:uid="{0E196897-50FA-4FD1-93DF-A8EDBC37A087}" name="Account Status ($)" dataDxfId="43" dataCellStyle="Currency">
      <calculatedColumnFormula>Table4659[[#This Row],[Account Status (Coin)]]*'Crypto Market Price Data'!$C$5</calculatedColumnFormula>
    </tableColumn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21829EF-5990-4B58-9A7B-787904508E76}" name="Table4760" displayName="Table4760" ref="A141:G144" totalsRowShown="0">
  <autoFilter ref="A141:G144" xr:uid="{121829EF-5990-4B58-9A7B-787904508E76}"/>
  <tableColumns count="7">
    <tableColumn id="1" xr3:uid="{D6795DB2-4D9D-4E80-B562-98CCF9FF0BEE}" name="Data Miners"/>
    <tableColumn id="2" xr3:uid="{7E0422B3-94BA-43AA-8FCC-8E58BB30B93C}" name="Start Date" dataDxfId="42"/>
    <tableColumn id="3" xr3:uid="{154EA7D8-4147-42B6-BC7A-EA771A9F2999}" name="Coin" dataDxfId="41"/>
    <tableColumn id="4" xr3:uid="{8428D197-7038-47DA-9A17-CD8EFD75CA4D}" name="Start Amount (Coin)"/>
    <tableColumn id="5" xr3:uid="{26D608EF-C2CF-4FDD-A037-D0753A109598}" name="Start Amount ($)"/>
    <tableColumn id="9" xr3:uid="{64949B01-8A1C-44F7-BE76-01FCAFCC33F8}" name="Account Status (Coin)"/>
    <tableColumn id="10" xr3:uid="{C2063964-99B9-492A-AA57-559BEDB64C94}" name="Account Status ($)"/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C87E7F7-2A6D-4177-BA30-968CC83179E1}" name="Table3961" displayName="Table3961" ref="A147:G148" totalsRowShown="0">
  <autoFilter ref="A147:G148" xr:uid="{8C87E7F7-2A6D-4177-BA30-968CC83179E1}"/>
  <tableColumns count="7">
    <tableColumn id="1" xr3:uid="{03BFE1F1-2E2A-4A78-81BE-1C7C12C72F01}" name="Browser Miners"/>
    <tableColumn id="2" xr3:uid="{669B746F-0431-42EF-8F7B-119EA8A91465}" name="Start Date" dataDxfId="40"/>
    <tableColumn id="3" xr3:uid="{1070D915-0943-4C43-A21B-5E367B994161}" name="Coin" dataDxfId="39"/>
    <tableColumn id="4" xr3:uid="{71569CCE-AD2F-4A2D-8A9F-A705455781B2}" name="Start Amount (Coin)"/>
    <tableColumn id="8" xr3:uid="{3BB0F202-AF55-44F8-BDCF-A295E694C457}" name="Start Amount ($)" dataCellStyle="Currency">
      <calculatedColumnFormula>Table3961[[#This Row],[Start Amount (Coin)]]*'Crypto Market Price Data'!$C$13</calculatedColumnFormula>
    </tableColumn>
    <tableColumn id="5" xr3:uid="{A4B36A7E-EE21-4071-87EF-55D379571DC3}" name="Account Status (Coin)"/>
    <tableColumn id="9" xr3:uid="{11C52D80-CAA4-461D-BFC8-F3DA1AF574B2}" name="Account Status ($)" dataCellStyle="Currency">
      <calculatedColumnFormula>Table3961[[#This Row],[Account Status (Coin)]]*'Crypto Market Price Data'!$C$13</calculatedColumnFormula>
    </tableColumn>
  </tableColumns>
  <tableStyleInfo name="TableStyleMedium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FB1DF7E-6CCC-483B-A6C6-43C0386BC405}" name="Table27" displayName="Table27" ref="A6:L8" totalsRowShown="0" headerRowDxfId="38">
  <autoFilter ref="A6:L8" xr:uid="{7FB1DF7E-6CCC-483B-A6C6-43C0386BC405}"/>
  <tableColumns count="12">
    <tableColumn id="1" xr3:uid="{EEAA2942-B69F-494B-AE7B-06C9178C8722}" name="Miner Website:"/>
    <tableColumn id="2" xr3:uid="{F566A8DD-1A43-4B78-88EB-F32980EA0B30}" name="Wallet"/>
    <tableColumn id="3" xr3:uid="{C23C8B2B-A3DF-4630-9041-8BA42A1C2DD2}" name="Coin" dataDxfId="37"/>
    <tableColumn id="4" xr3:uid="{F97912D3-237F-4564-AA61-896A70AF185E}" name="Mh (Average)"/>
    <tableColumn id="5" xr3:uid="{4FDED6EC-AB82-4A94-B479-08D6162935B2}" name="Profit/Day (Coin)"/>
    <tableColumn id="6" xr3:uid="{9ABAA816-F2AE-4744-8BC6-1BF4C223AEA9}" name="Profit/Week (Coin)"/>
    <tableColumn id="7" xr3:uid="{8F6BA068-1494-4160-A0B0-D72D0FC3563F}" name="Profit/Month (Coin)"/>
    <tableColumn id="8" xr3:uid="{15CCA487-6350-4B4D-8D09-0A57F498AC63}" name="Profit/Year (Coin)"/>
    <tableColumn id="9" xr3:uid="{98667560-A28A-44AC-A094-974607315969}" name="Profit/Day ($)" dataDxfId="36" dataCellStyle="Currency">
      <calculatedColumnFormula>Table27[[#This Row],[Profit/Day (Coin)]]*#REF!</calculatedColumnFormula>
    </tableColumn>
    <tableColumn id="10" xr3:uid="{69DA21F7-4DB1-485B-8C36-7D7DD22516F3}" name="Profit/Week ($)" dataCellStyle="Currency"/>
    <tableColumn id="11" xr3:uid="{21D48F8B-9FF7-4CCC-A30C-A6D94883103F}" name="Profit/Month ($)" dataCellStyle="Currency"/>
    <tableColumn id="12" xr3:uid="{36B9354F-16DD-480A-AADC-03A028BEF2AA}" name="Profit/Year ($)" dataCellStyle="Currency"/>
  </tableColumns>
  <tableStyleInfo name="TableStyleMedium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B53864F-A79C-4F2F-BA06-4AFBACA39A4B}" name="Table28" displayName="Table28" ref="A12:L14" totalsRowShown="0">
  <autoFilter ref="A12:L14" xr:uid="{EB53864F-A79C-4F2F-BA06-4AFBACA39A4B}"/>
  <tableColumns count="12">
    <tableColumn id="1" xr3:uid="{5FEC53DF-F4CB-41DE-ABC1-710E12F46C59}" name="Miner Website:"/>
    <tableColumn id="12" xr3:uid="{37AB1869-B45F-446B-B13E-72B4EA3D542E}" name="Wallet" dataDxfId="35"/>
    <tableColumn id="2" xr3:uid="{A280B0EF-4A31-4B91-9845-42F750ABA005}" name="Coin" dataDxfId="34"/>
    <tableColumn id="3" xr3:uid="{14597C6D-3609-4AE0-9EF3-85C79528D71B}" name="Miner Level"/>
    <tableColumn id="4" xr3:uid="{CE8C6519-FBD3-4643-8F58-C23C6260DAEF}" name="Profit/Day (Coin)"/>
    <tableColumn id="5" xr3:uid="{D2080264-A5A2-4410-A599-33F78D214D0E}" name="Profit/Week (Coin)"/>
    <tableColumn id="6" xr3:uid="{92E83EB8-AE1B-45B8-8613-C0798EC7D882}" name="Profit/Month (Coin)"/>
    <tableColumn id="7" xr3:uid="{C122333F-59AD-4E23-9E47-201A3994F48D}" name="Profit/Year (Coin)"/>
    <tableColumn id="8" xr3:uid="{4A73D97E-F54B-47C2-A597-50ECEC8EEC5E}" name="Profit/Day ($)" dataDxfId="33"/>
    <tableColumn id="9" xr3:uid="{ED405214-023E-48BC-88CF-EEF72BA6D332}" name="Profit/Week ($)" dataDxfId="32"/>
    <tableColumn id="10" xr3:uid="{99735A5F-43CC-4501-8D41-424533427C0B}" name="Profit/Month ($)" dataDxfId="31"/>
    <tableColumn id="11" xr3:uid="{9DCCE7D6-FD86-4D17-9651-80BFD10FFF24}" name="Profit/Year ($)" dataDxfId="30"/>
  </tableColumns>
  <tableStyleInfo name="TableStyleMedium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B1E172-7091-4435-9E9D-7DB4C4F05B3B}" name="Table29" displayName="Table29" ref="A18:L21" totalsRowShown="0">
  <autoFilter ref="A18:L21" xr:uid="{68B1E172-7091-4435-9E9D-7DB4C4F05B3B}"/>
  <tableColumns count="12">
    <tableColumn id="1" xr3:uid="{D067F1D1-640A-4A23-B4D0-A01F548D5224}" name="Miner Website:"/>
    <tableColumn id="2" xr3:uid="{529F3D8A-8BC2-4070-902B-2BE936968486}" name="Wallet " dataDxfId="29"/>
    <tableColumn id="3" xr3:uid="{91C72A9B-D073-4DC5-9A02-910A29DA916B}" name="Coin" dataDxfId="28"/>
    <tableColumn id="4" xr3:uid="{75D299C2-1246-4E59-A767-04C392D8CB64}" name="Referrals"/>
    <tableColumn id="5" xr3:uid="{579CA2B7-332B-4425-9F4D-3962A713DC49}" name="Profit/Day (Coin)"/>
    <tableColumn id="6" xr3:uid="{00724D71-0D35-4F0B-A2B9-88678DFA2CBA}" name="Profit/Week (Coin)"/>
    <tableColumn id="7" xr3:uid="{2E5E6DF5-74FE-4C85-AE66-4DC6BB0A9AA6}" name="Profit/Month (Coin)"/>
    <tableColumn id="8" xr3:uid="{BB75B52F-ADA4-4308-B21A-A3C03169B479}" name="Profit/Year (Coin)"/>
    <tableColumn id="9" xr3:uid="{448B4B5B-D59F-42A4-8796-0A7AFD7FA36E}" name="Profit/Day ($)"/>
    <tableColumn id="10" xr3:uid="{7051A85A-A34F-44F2-97CE-B1C7590BF189}" name="Profit/Week ($)"/>
    <tableColumn id="11" xr3:uid="{78355301-CF35-4BB6-A5FC-BA4E5E44E0F6}" name="Profit/Month ($)"/>
    <tableColumn id="12" xr3:uid="{99112844-86FA-4326-B51A-540F88986CE8}" name="Profit/Year ($)"/>
  </tableColumns>
  <tableStyleInfo name="TableStyleMedium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519A0D9-E2F5-425A-9A0C-880619A1959C}" name="Table30" displayName="Table30" ref="A25:G26" totalsRowShown="0">
  <autoFilter ref="A25:G26" xr:uid="{7519A0D9-E2F5-425A-9A0C-880619A1959C}"/>
  <tableColumns count="7">
    <tableColumn id="1" xr3:uid="{DAF94E30-5616-4563-99A7-496A0AD1A65D}" name="Other Miners"/>
    <tableColumn id="7" xr3:uid="{52673E4D-216F-42F9-8132-1271EBC95275}" name="Wallet" dataDxfId="27"/>
    <tableColumn id="2" xr3:uid="{DD97D953-D95C-45E8-9782-301B4383AEF3}" name="Coin" dataDxfId="26"/>
    <tableColumn id="3" xr3:uid="{B85C281A-C2F5-462D-A489-2EADAE65DD37}" name="Profit/Day ($)" dataDxfId="25"/>
    <tableColumn id="4" xr3:uid="{1E9D50DB-3849-4F56-9133-09282DF9C30A}" name="Profit/Week($)" dataDxfId="24">
      <calculatedColumnFormula>Table30[[#This Row],[Profit/Day ($)]]*7</calculatedColumnFormula>
    </tableColumn>
    <tableColumn id="5" xr3:uid="{CFEBDAEE-7FA6-4B8D-B687-F08CF2D48B43}" name="Profit/Month ($)" dataDxfId="23">
      <calculatedColumnFormula>Table30[[#This Row],[Profit/Day ($)]]*30</calculatedColumnFormula>
    </tableColumn>
    <tableColumn id="6" xr3:uid="{B09F4F6F-74C0-4730-A707-07F9D868AAED}" name="Profit/Year ($)" dataDxfId="22">
      <calculatedColumnFormula>Table30[[#This Row],[Profit/Month ($)]]*12</calculatedColumnFormula>
    </tableColumn>
  </tableColumns>
  <tableStyleInfo name="TableStyleMedium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1C418D1-8349-4BAA-8889-16D009A8E263}" name="Table31" displayName="Table31" ref="A30:J37" totalsRowShown="0" headerRowDxfId="21">
  <autoFilter ref="A30:J37" xr:uid="{81C418D1-8349-4BAA-8889-16D009A8E263}"/>
  <tableColumns count="10">
    <tableColumn id="1" xr3:uid="{771C7C7C-2C70-479F-9C97-460DAC29E745}" name="NFT Website"/>
    <tableColumn id="2" xr3:uid="{C67D7117-7F17-4AC3-9430-F2254B9AD6E2}" name="Coin" dataDxfId="20"/>
    <tableColumn id="3" xr3:uid="{89D001C2-3020-455F-9D8F-A4D77BACDCA5}" name="Profit/Day (Coin)"/>
    <tableColumn id="10" xr3:uid="{C2504D06-ABA2-484D-9E7E-099997F81BCA}" name="Profit/Week (Coin)">
      <calculatedColumnFormula>Table31[[#This Row],[Profit/Day (Coin)]]*7</calculatedColumnFormula>
    </tableColumn>
    <tableColumn id="4" xr3:uid="{C6763476-3B5E-4EBA-B1DF-9BCE698AE2DA}" name="Profit/Month (Coin)">
      <calculatedColumnFormula>Table31[[#This Row],[Profit/Day (Coin)]]*30</calculatedColumnFormula>
    </tableColumn>
    <tableColumn id="5" xr3:uid="{2ABAC2F1-6747-428C-928B-B47F5F8E6DEF}" name="Profit/Year (Coin)">
      <calculatedColumnFormula>Table31[[#This Row],[Profit/Month (Coin)]]*12</calculatedColumnFormula>
    </tableColumn>
    <tableColumn id="6" xr3:uid="{BAEFE5B9-932A-420E-8BB1-9A6ED4128C64}" name="Profit/Day ($)">
      <calculatedColumnFormula>Table31[[#This Row],[Profit/Day (Coin)]]*#REF!</calculatedColumnFormula>
    </tableColumn>
    <tableColumn id="7" xr3:uid="{66D908B2-241C-4905-AC5F-C4025D97CCC7}" name="Profit/Week($)"/>
    <tableColumn id="8" xr3:uid="{8185E38D-A7AA-41DF-9901-3ECF91ED7BAB}" name="Profit/Month ($)"/>
    <tableColumn id="9" xr3:uid="{77F40BB4-44BF-4961-A603-6CFA29AF0D3A}" name="Profit/Year ($)"/>
  </tableColumns>
  <tableStyleInfo name="TableStyleMedium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7F1C74A-E142-4444-A924-D332110B2889}" name="Table32" displayName="Table32" ref="A41:N46" totalsRowShown="0" headerRowDxfId="19">
  <autoFilter ref="A41:N46" xr:uid="{A7F1C74A-E142-4444-A924-D332110B2889}"/>
  <tableColumns count="14">
    <tableColumn id="1" xr3:uid="{6214043D-DCE8-4BA4-9459-886EC0662762}" name="Passive Games"/>
    <tableColumn id="2" xr3:uid="{8334EAA7-9157-4DE2-BCCC-4A5AC7A397E0}" name="Coin" dataDxfId="18"/>
    <tableColumn id="3" xr3:uid="{0C35C054-DD1C-4FD7-B5A0-14F266CC8497}" name="Base Rate per Rarity/Second"/>
    <tableColumn id="4" xr3:uid="{B4E44A7C-60DB-42DB-B5C0-F1E7A7B42EA1}" name="Number of Items"/>
    <tableColumn id="5" xr3:uid="{65511AD4-2196-4623-97AA-F4676C5F37A2}" name="Pre Total/Sec"/>
    <tableColumn id="6" xr3:uid="{24645B6D-510A-438A-A0F7-2C281F3E0A4D}" name="Badges (5%)"/>
    <tableColumn id="7" xr3:uid="{EA6ED9E6-704A-4C57-BBAD-693A6B605E7B}" name="Bonus (x30)"/>
    <tableColumn id="8" xr3:uid="{C340B5BD-715A-440B-B099-522F26746EAA}" name="Profit/Sec ($)" dataDxfId="17"/>
    <tableColumn id="9" xr3:uid="{4E17D94D-E194-4251-B602-E56DB896F3FD}" name="Profit/Min ($)" dataDxfId="16"/>
    <tableColumn id="10" xr3:uid="{32503FF7-C5DE-4FB4-9725-EA69208419CD}" name="Profit/Hour ($)" dataDxfId="15"/>
    <tableColumn id="11" xr3:uid="{A3E64905-89AB-4F43-800F-C859F3C20C2B}" name="Profit/Day ($)" dataDxfId="14"/>
    <tableColumn id="12" xr3:uid="{E16A2DD9-6E00-4800-8D2B-82A1FF50AB21}" name="Profit/Week($)" dataDxfId="13"/>
    <tableColumn id="13" xr3:uid="{F3D65C4F-7A08-4B00-B148-B6CBB04DAAD1}" name="Profit/Month ($)" dataDxfId="12"/>
    <tableColumn id="14" xr3:uid="{55F8F57A-F7B8-4D3C-BFDA-96D1BC757779}" name="Profit/Year ($)" dataDxfId="11"/>
  </tableColumns>
  <tableStyleInfo name="TableStyleMedium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60EA4EA-DC75-4BDF-9B5F-81AC369B1E31}" name="Table33" displayName="Table33" ref="A50:K53" totalsRowShown="0">
  <autoFilter ref="A50:K53" xr:uid="{E60EA4EA-DC75-4BDF-9B5F-81AC369B1E31}"/>
  <tableColumns count="11">
    <tableColumn id="1" xr3:uid="{7796C740-A29C-4C2A-B644-C0D5C755611D}" name="VIdeo Website"/>
    <tableColumn id="2" xr3:uid="{29EB38CE-3AC3-49BE-9719-E245D5CFC413}" name="Coin" dataDxfId="10"/>
    <tableColumn id="3" xr3:uid="{F2004ABC-C6E5-4DD6-BEF4-36FE8E8E02FA}" name="Points/Hour"/>
    <tableColumn id="4" xr3:uid="{04363AFA-07E2-403E-B9EB-F30D0A48670A}" name="Points/Day"/>
    <tableColumn id="5" xr3:uid="{9720EC5B-5291-44D4-99A9-96DC71EEA02F}" name="Points/Week"/>
    <tableColumn id="6" xr3:uid="{F13640A6-7887-4460-8234-47E98B4B3B8E}" name="Points/Month"/>
    <tableColumn id="7" xr3:uid="{6A312F39-B4CF-4F33-88C8-C2A0BA262E44}" name="Points/Year"/>
    <tableColumn id="8" xr3:uid="{142A9FAC-52AE-4AD5-A97B-57620ADC114F}" name="Profit/Day ($)"/>
    <tableColumn id="9" xr3:uid="{5A9EAF1A-7759-4196-B14C-FA49375CB80B}" name="Profit/Week($)"/>
    <tableColumn id="10" xr3:uid="{C6CD6E45-F089-437B-9D04-2CC08D752EAE}" name="Profit/Month ($)"/>
    <tableColumn id="11" xr3:uid="{87E1C459-9EAC-4D0B-9CED-AB5690F6CA82}" name="Profit/Year ($)"/>
  </tableColumns>
  <tableStyleInfo name="TableStyleMedium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E2000C2-A337-4BD1-8586-49BB5C86874B}" name="Table34" displayName="Table34" ref="A65:D66" totalsRowShown="0">
  <autoFilter ref="A65:D66" xr:uid="{8E2000C2-A337-4BD1-8586-49BB5C86874B}"/>
  <tableColumns count="4">
    <tableColumn id="1" xr3:uid="{470C12F2-22CE-46F0-877B-F7F10853EDA5}" name="Total Passive Earnings ($/Day)" dataDxfId="9">
      <calculatedColumnFormula>I9+I15+I22+D27+G38+K47+H54+I62</calculatedColumnFormula>
    </tableColumn>
    <tableColumn id="2" xr3:uid="{DE8FF57E-1949-4553-B5AB-D1D62D9DD808}" name="Total Passive Earnings ($/Week)" dataDxfId="8">
      <calculatedColumnFormula>J9+J15+J22+E27+H38+L47+I54+I62</calculatedColumnFormula>
    </tableColumn>
    <tableColumn id="3" xr3:uid="{E5DE6962-2E50-477E-99F9-9097297B39CB}" name="Total Passive Earnings ($/Month)" dataDxfId="7">
      <calculatedColumnFormula>K9+K15+K22+F27+I38+M47+J54+J62</calculatedColumnFormula>
    </tableColumn>
    <tableColumn id="4" xr3:uid="{03D750C9-247A-4C04-BBB5-978EB6A5E410}" name="Total Passive Earnings ($/Year)" dataDxfId="6">
      <calculatedColumnFormula>L9+L15+L22+G27+J38+N47+K54+K62</calculatedColumnFormula>
    </tableColumn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34A2A6-13F4-45AC-B3AE-33B7E7C15D9A}" name="Table14" displayName="Table14" ref="A57:L61" totalsRowShown="0">
  <autoFilter ref="A57:L61" xr:uid="{C234A2A6-13F4-45AC-B3AE-33B7E7C15D9A}"/>
  <tableColumns count="12">
    <tableColumn id="1" xr3:uid="{F7610002-730A-4B80-BA02-BFD56604A493}" name="Staking"/>
    <tableColumn id="2" xr3:uid="{B3A028E6-1D7B-4F3A-84A0-B1437B9A069B}" name="Date Staked"/>
    <tableColumn id="3" xr3:uid="{16E2769F-D5D1-405D-ACAD-0DB089DA6F2D}" name="Coin"/>
    <tableColumn id="4" xr3:uid="{DC13ECC8-8893-4E6A-9CCD-85A803131D33}" name="Start Amount (Coin)"/>
    <tableColumn id="5" xr3:uid="{EF0E2247-70D8-4DFB-BFC4-5A0140B8AD33}" name="Start Amount ($)"/>
    <tableColumn id="12" xr3:uid="{49C9C75D-B9C9-4CB6-8AEB-2B7289D88B6B}" name="Todays Amount (Coin)" dataDxfId="5"/>
    <tableColumn id="6" xr3:uid="{5934E7A9-52E6-4874-B541-C41C0AF8DF5D}" name="Current APR"/>
    <tableColumn id="7" xr3:uid="{C1FD5953-51E7-4D73-AD12-C866A6D93F0E}" name="Current APR Amount (Daily)" dataDxfId="4"/>
    <tableColumn id="8" xr3:uid="{F9BFC833-0A52-47CC-9706-C6C0208B7319}" name="Profit/Day ($)" dataDxfId="3"/>
    <tableColumn id="9" xr3:uid="{C4C587D6-90AA-4947-B539-416FCAFFA4FD}" name="Profit/Week($)" dataDxfId="2"/>
    <tableColumn id="10" xr3:uid="{688BB088-0F68-43C6-8D37-29AE66152E8A}" name="Profit/Month ($)" dataDxfId="1"/>
    <tableColumn id="11" xr3:uid="{EA23AA35-B0CD-46F1-B9EC-DBFD806FB45F}" name="Profit/Year ($)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F3B98F9-F76E-48DB-903D-275BBB6A18CE}">
  <we:reference id="wa104379220" version="8.0.0.0" store="en-US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lastCryptoCompare" value="1698299652109"/>
    <we:property name="lastIexCall" value="1696220387540"/>
    <we:property name="stocks" value="{}"/>
    <we:property name="stocksChange" value="{}"/>
    <we:property name="stocksOrder" value="[]"/>
    <we:property name="stocksSources" value="{}"/>
    <we:property name="updateIntervalIndex" value="0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93D2092-612C-430D-8D0D-98A52906F3CC}">
  <we:reference id="wa200004517" version="3.4.0.0" store="en-US" storeType="OMEX"/>
  <we:alternateReferences>
    <we:reference id="WA200004517" version="3.4.0.0" store="WA20000451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ART</we:customFunctionIds>
        <we:customFunctionIds>ARTRANGE</we:customFunctionIds>
        <we:customFunctionIds>ARTDUNE</we:customFunctionIds>
        <we:customFunctionIds>ARTINFO</we:customFunctionIds>
        <we:customFunctionIds>ARTBREAKDOWN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6891-B186-4BC9-B060-7CD4DCCBC3EB}">
  <sheetPr codeName="Sheet1">
    <tabColor theme="7"/>
  </sheetPr>
  <dimension ref="A1:G47"/>
  <sheetViews>
    <sheetView tabSelected="1" zoomScale="76" zoomScaleNormal="80" workbookViewId="0">
      <selection activeCell="E15" sqref="E15"/>
    </sheetView>
  </sheetViews>
  <sheetFormatPr defaultRowHeight="14.5" x14ac:dyDescent="0.35"/>
  <cols>
    <col min="1" max="1" width="20.453125" customWidth="1"/>
    <col min="2" max="2" width="106.7265625" customWidth="1"/>
  </cols>
  <sheetData>
    <row r="1" spans="1:7" ht="23.5" x14ac:dyDescent="0.35">
      <c r="A1" s="165" t="s">
        <v>1465</v>
      </c>
      <c r="B1" s="165"/>
    </row>
    <row r="2" spans="1:7" ht="18.5" customHeight="1" x14ac:dyDescent="0.35">
      <c r="A2" s="166" t="s">
        <v>1452</v>
      </c>
      <c r="B2" s="166"/>
      <c r="C2" s="153"/>
      <c r="D2" s="153"/>
      <c r="E2" s="153"/>
      <c r="F2" s="153"/>
      <c r="G2" s="153"/>
    </row>
    <row r="3" spans="1:7" ht="18.5" customHeight="1" x14ac:dyDescent="0.35">
      <c r="A3" s="166"/>
      <c r="B3" s="166"/>
      <c r="C3" s="153"/>
      <c r="D3" s="153"/>
      <c r="E3" s="153"/>
      <c r="F3" s="153"/>
      <c r="G3" s="153"/>
    </row>
    <row r="4" spans="1:7" ht="18.5" customHeight="1" x14ac:dyDescent="0.35">
      <c r="A4" s="166"/>
      <c r="B4" s="166"/>
      <c r="C4" s="153"/>
      <c r="D4" s="153"/>
      <c r="E4" s="153"/>
      <c r="F4" s="153"/>
      <c r="G4" s="153"/>
    </row>
    <row r="5" spans="1:7" ht="20.5" customHeight="1" x14ac:dyDescent="0.35">
      <c r="A5" s="166"/>
      <c r="B5" s="166"/>
      <c r="C5" s="153"/>
      <c r="D5" s="153"/>
      <c r="E5" s="153"/>
      <c r="F5" s="153"/>
      <c r="G5" s="153"/>
    </row>
    <row r="6" spans="1:7" x14ac:dyDescent="0.35">
      <c r="A6" s="162"/>
      <c r="B6" s="162"/>
    </row>
    <row r="7" spans="1:7" ht="18.5" customHeight="1" x14ac:dyDescent="0.35">
      <c r="A7" s="154" t="s">
        <v>1357</v>
      </c>
      <c r="B7" s="162"/>
    </row>
    <row r="8" spans="1:7" ht="18.5" customHeight="1" x14ac:dyDescent="0.35">
      <c r="A8" s="163" t="s">
        <v>1453</v>
      </c>
      <c r="B8" s="162"/>
    </row>
    <row r="9" spans="1:7" ht="18.5" customHeight="1" x14ac:dyDescent="0.35">
      <c r="A9" s="163" t="s">
        <v>1454</v>
      </c>
      <c r="B9" s="162"/>
    </row>
    <row r="10" spans="1:7" ht="18.5" customHeight="1" x14ac:dyDescent="0.35">
      <c r="A10" s="163" t="s">
        <v>1455</v>
      </c>
      <c r="B10" s="162"/>
    </row>
    <row r="11" spans="1:7" ht="18.5" customHeight="1" x14ac:dyDescent="0.35">
      <c r="A11" s="163" t="s">
        <v>1456</v>
      </c>
      <c r="B11" s="162"/>
    </row>
    <row r="12" spans="1:7" ht="18.5" customHeight="1" x14ac:dyDescent="0.35">
      <c r="A12" s="163" t="s">
        <v>1457</v>
      </c>
      <c r="B12" s="162"/>
    </row>
    <row r="13" spans="1:7" x14ac:dyDescent="0.35">
      <c r="A13" s="162"/>
      <c r="B13" s="162"/>
    </row>
    <row r="14" spans="1:7" x14ac:dyDescent="0.35">
      <c r="A14" s="162"/>
      <c r="B14" s="162"/>
    </row>
    <row r="15" spans="1:7" ht="18.5" x14ac:dyDescent="0.35">
      <c r="A15" s="154" t="s">
        <v>1358</v>
      </c>
      <c r="B15" s="162"/>
    </row>
    <row r="16" spans="1:7" ht="16" thickBot="1" x14ac:dyDescent="0.4">
      <c r="A16" s="159" t="s">
        <v>1359</v>
      </c>
      <c r="B16" s="159" t="s">
        <v>1360</v>
      </c>
    </row>
    <row r="17" spans="1:2" ht="18" customHeight="1" x14ac:dyDescent="0.35">
      <c r="A17" s="160" t="s">
        <v>1361</v>
      </c>
      <c r="B17" s="161" t="s">
        <v>1439</v>
      </c>
    </row>
    <row r="18" spans="1:2" ht="18" customHeight="1" x14ac:dyDescent="0.35">
      <c r="A18" s="160" t="s">
        <v>1362</v>
      </c>
      <c r="B18" s="161" t="s">
        <v>1363</v>
      </c>
    </row>
    <row r="19" spans="1:2" ht="18" customHeight="1" x14ac:dyDescent="0.35">
      <c r="A19" s="160" t="s">
        <v>1364</v>
      </c>
      <c r="B19" s="161" t="s">
        <v>1365</v>
      </c>
    </row>
    <row r="20" spans="1:2" x14ac:dyDescent="0.35">
      <c r="A20" s="162"/>
      <c r="B20" s="162"/>
    </row>
    <row r="21" spans="1:2" x14ac:dyDescent="0.35">
      <c r="A21" s="162"/>
      <c r="B21" s="162"/>
    </row>
    <row r="22" spans="1:2" ht="18.5" x14ac:dyDescent="0.35">
      <c r="A22" s="154" t="s">
        <v>1366</v>
      </c>
      <c r="B22" s="162"/>
    </row>
    <row r="23" spans="1:2" ht="16" thickBot="1" x14ac:dyDescent="0.4">
      <c r="A23" s="159" t="s">
        <v>1367</v>
      </c>
      <c r="B23" s="159" t="s">
        <v>1368</v>
      </c>
    </row>
    <row r="24" spans="1:2" ht="35" customHeight="1" x14ac:dyDescent="0.35">
      <c r="A24" s="160" t="s">
        <v>1377</v>
      </c>
      <c r="B24" s="161" t="s">
        <v>1378</v>
      </c>
    </row>
    <row r="25" spans="1:2" ht="35" customHeight="1" x14ac:dyDescent="0.35">
      <c r="A25" s="160" t="s">
        <v>1375</v>
      </c>
      <c r="B25" s="161" t="s">
        <v>1376</v>
      </c>
    </row>
    <row r="26" spans="1:2" ht="35" customHeight="1" x14ac:dyDescent="0.35">
      <c r="A26" s="160" t="s">
        <v>1373</v>
      </c>
      <c r="B26" s="161" t="s">
        <v>1374</v>
      </c>
    </row>
    <row r="27" spans="1:2" ht="35" customHeight="1" x14ac:dyDescent="0.35">
      <c r="A27" s="160" t="s">
        <v>321</v>
      </c>
      <c r="B27" s="161" t="s">
        <v>1463</v>
      </c>
    </row>
    <row r="28" spans="1:2" ht="35" customHeight="1" x14ac:dyDescent="0.35">
      <c r="A28" s="160" t="s">
        <v>590</v>
      </c>
      <c r="B28" s="161" t="s">
        <v>1464</v>
      </c>
    </row>
    <row r="29" spans="1:2" ht="35" customHeight="1" x14ac:dyDescent="0.35">
      <c r="A29" s="160" t="s">
        <v>92</v>
      </c>
      <c r="B29" s="161" t="s">
        <v>1372</v>
      </c>
    </row>
    <row r="30" spans="1:2" ht="35" customHeight="1" x14ac:dyDescent="0.35">
      <c r="A30" s="160" t="s">
        <v>1386</v>
      </c>
      <c r="B30" s="161" t="s">
        <v>1371</v>
      </c>
    </row>
    <row r="31" spans="1:2" ht="35" customHeight="1" x14ac:dyDescent="0.35">
      <c r="A31" s="160" t="s">
        <v>92</v>
      </c>
      <c r="B31" s="161" t="s">
        <v>1372</v>
      </c>
    </row>
    <row r="32" spans="1:2" ht="35" customHeight="1" x14ac:dyDescent="0.35">
      <c r="A32" s="160" t="s">
        <v>1369</v>
      </c>
      <c r="B32" s="161" t="s">
        <v>1370</v>
      </c>
    </row>
    <row r="33" spans="1:2" x14ac:dyDescent="0.35">
      <c r="A33" s="162"/>
      <c r="B33" s="162"/>
    </row>
    <row r="34" spans="1:2" x14ac:dyDescent="0.35">
      <c r="A34" s="162"/>
      <c r="B34" s="162"/>
    </row>
    <row r="35" spans="1:2" ht="18.5" customHeight="1" x14ac:dyDescent="0.35">
      <c r="A35" s="154" t="s">
        <v>1379</v>
      </c>
      <c r="B35" s="162"/>
    </row>
    <row r="36" spans="1:2" ht="18.5" customHeight="1" x14ac:dyDescent="0.35">
      <c r="A36" s="163" t="s">
        <v>1458</v>
      </c>
      <c r="B36" s="162"/>
    </row>
    <row r="37" spans="1:2" ht="18.5" customHeight="1" x14ac:dyDescent="0.35">
      <c r="A37" s="163" t="s">
        <v>1459</v>
      </c>
      <c r="B37" s="162"/>
    </row>
    <row r="38" spans="1:2" ht="18.5" customHeight="1" x14ac:dyDescent="0.35">
      <c r="A38" s="163" t="s">
        <v>1460</v>
      </c>
      <c r="B38" s="162"/>
    </row>
    <row r="39" spans="1:2" ht="18.5" customHeight="1" x14ac:dyDescent="0.35">
      <c r="A39" s="163" t="s">
        <v>1461</v>
      </c>
      <c r="B39" s="162"/>
    </row>
    <row r="40" spans="1:2" ht="18.5" customHeight="1" x14ac:dyDescent="0.35">
      <c r="A40" s="163" t="s">
        <v>1462</v>
      </c>
      <c r="B40" s="162"/>
    </row>
    <row r="41" spans="1:2" x14ac:dyDescent="0.35">
      <c r="A41" s="162"/>
      <c r="B41" s="162"/>
    </row>
    <row r="42" spans="1:2" x14ac:dyDescent="0.35">
      <c r="A42" s="162"/>
      <c r="B42" s="162"/>
    </row>
    <row r="43" spans="1:2" ht="18.5" customHeight="1" x14ac:dyDescent="0.35">
      <c r="A43" s="154" t="s">
        <v>1380</v>
      </c>
      <c r="B43" s="162"/>
    </row>
    <row r="44" spans="1:2" ht="18.5" customHeight="1" x14ac:dyDescent="0.35">
      <c r="A44" s="163" t="s">
        <v>1381</v>
      </c>
      <c r="B44" s="162"/>
    </row>
    <row r="45" spans="1:2" ht="18.5" customHeight="1" x14ac:dyDescent="0.35">
      <c r="A45" s="164" t="s">
        <v>1382</v>
      </c>
      <c r="B45" s="162"/>
    </row>
    <row r="46" spans="1:2" ht="18.5" customHeight="1" x14ac:dyDescent="0.35">
      <c r="A46" s="164" t="s">
        <v>1383</v>
      </c>
      <c r="B46" s="162"/>
    </row>
    <row r="47" spans="1:2" ht="18.5" customHeight="1" x14ac:dyDescent="0.35">
      <c r="A47" s="164" t="s">
        <v>1384</v>
      </c>
      <c r="B47" s="162"/>
    </row>
  </sheetData>
  <mergeCells count="2">
    <mergeCell ref="A1:B1"/>
    <mergeCell ref="A2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0179-8D39-4EC1-A299-A290B2D4136A}">
  <sheetPr codeName="Sheet2">
    <tabColor theme="4" tint="-0.249977111117893"/>
  </sheetPr>
  <dimension ref="A1:U53"/>
  <sheetViews>
    <sheetView zoomScale="52" zoomScaleNormal="70" workbookViewId="0">
      <selection activeCell="R30" sqref="R30"/>
    </sheetView>
  </sheetViews>
  <sheetFormatPr defaultRowHeight="14.5" x14ac:dyDescent="0.35"/>
  <cols>
    <col min="1" max="1" width="21.81640625" customWidth="1"/>
    <col min="2" max="2" width="27" customWidth="1"/>
    <col min="3" max="3" width="36.26953125" bestFit="1" customWidth="1"/>
    <col min="4" max="5" width="19.6328125" customWidth="1"/>
    <col min="6" max="13" width="21.1796875" customWidth="1"/>
    <col min="14" max="14" width="14.54296875" customWidth="1"/>
    <col min="15" max="15" width="13.6328125" customWidth="1"/>
    <col min="18" max="18" width="9.453125" bestFit="1" customWidth="1"/>
    <col min="20" max="20" width="10.90625" customWidth="1"/>
  </cols>
  <sheetData>
    <row r="1" spans="1:21" ht="8" customHeight="1" x14ac:dyDescent="0.35"/>
    <row r="2" spans="1:21" ht="14.5" customHeight="1" x14ac:dyDescent="0.35">
      <c r="A2" s="167" t="s">
        <v>1466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3" spans="1:21" ht="14.5" customHeight="1" x14ac:dyDescent="0.3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</row>
    <row r="4" spans="1:21" ht="8.5" customHeight="1" x14ac:dyDescent="0.35">
      <c r="B4">
        <v>4</v>
      </c>
    </row>
    <row r="5" spans="1:21" x14ac:dyDescent="0.35">
      <c r="A5" s="73" t="s">
        <v>322</v>
      </c>
      <c r="B5" s="67" t="s">
        <v>323</v>
      </c>
      <c r="C5" s="67" t="s">
        <v>324</v>
      </c>
      <c r="D5" s="67" t="s">
        <v>325</v>
      </c>
      <c r="E5" s="67" t="s">
        <v>326</v>
      </c>
    </row>
    <row r="6" spans="1:21" ht="15" thickBot="1" x14ac:dyDescent="0.4">
      <c r="A6" s="49">
        <v>873.95</v>
      </c>
      <c r="B6" s="49">
        <v>0</v>
      </c>
      <c r="C6" s="49">
        <f>E7+E8+C8</f>
        <v>1957</v>
      </c>
      <c r="D6" s="49">
        <f>(A6+C6)-B6</f>
        <v>2830.95</v>
      </c>
      <c r="E6" s="49">
        <v>0</v>
      </c>
    </row>
    <row r="7" spans="1:21" x14ac:dyDescent="0.35">
      <c r="C7" s="48"/>
      <c r="D7" s="100"/>
      <c r="E7">
        <v>501</v>
      </c>
    </row>
    <row r="8" spans="1:21" ht="18.5" x14ac:dyDescent="0.45">
      <c r="A8" s="1" t="s">
        <v>1437</v>
      </c>
      <c r="C8" s="48">
        <v>520</v>
      </c>
      <c r="D8" s="33" t="s">
        <v>1243</v>
      </c>
      <c r="E8" s="48">
        <v>936</v>
      </c>
    </row>
    <row r="9" spans="1:21" x14ac:dyDescent="0.35">
      <c r="A9" s="67" t="s">
        <v>330</v>
      </c>
      <c r="B9" s="67" t="s">
        <v>321</v>
      </c>
      <c r="C9" s="67" t="s">
        <v>909</v>
      </c>
      <c r="D9" s="67" t="s">
        <v>331</v>
      </c>
      <c r="E9" s="67" t="s">
        <v>332</v>
      </c>
    </row>
    <row r="10" spans="1:21" x14ac:dyDescent="0.35">
      <c r="A10" s="81" t="s">
        <v>448</v>
      </c>
      <c r="B10" s="48">
        <f>Expenses!$B$301</f>
        <v>-1741.25</v>
      </c>
      <c r="C10" s="48">
        <f>SUM(Expenses!$C$301:$E$301)</f>
        <v>2590.25</v>
      </c>
      <c r="D10" s="48">
        <f t="shared" ref="D10:D16" si="0">C10+B10</f>
        <v>849</v>
      </c>
      <c r="E10" s="155" t="s">
        <v>336</v>
      </c>
      <c r="U10" s="155"/>
    </row>
    <row r="11" spans="1:21" x14ac:dyDescent="0.35">
      <c r="A11" s="81" t="s">
        <v>456</v>
      </c>
      <c r="B11" s="48">
        <f>Expenses!$B$302</f>
        <v>-1727.68</v>
      </c>
      <c r="C11" s="48">
        <f>SUM(Expenses!$C$302:$E$302)</f>
        <v>1657</v>
      </c>
      <c r="D11" s="48">
        <f t="shared" si="0"/>
        <v>-70.680000000000064</v>
      </c>
      <c r="E11" s="155" t="s">
        <v>336</v>
      </c>
      <c r="U11" s="155"/>
    </row>
    <row r="12" spans="1:21" x14ac:dyDescent="0.35">
      <c r="A12" s="81" t="s">
        <v>458</v>
      </c>
      <c r="B12" s="48">
        <f>Expenses!$B$303</f>
        <v>-1866.7399999999998</v>
      </c>
      <c r="C12" s="48">
        <f>SUM(Expenses!$C$303:$E$303)</f>
        <v>3038.75</v>
      </c>
      <c r="D12" s="48">
        <f t="shared" si="0"/>
        <v>1172.0100000000002</v>
      </c>
      <c r="E12" s="155" t="s">
        <v>336</v>
      </c>
      <c r="U12" s="155"/>
    </row>
    <row r="13" spans="1:21" x14ac:dyDescent="0.35">
      <c r="A13" s="81" t="s">
        <v>460</v>
      </c>
      <c r="B13" s="48">
        <f>Expenses!$B$304</f>
        <v>-911.94999999999993</v>
      </c>
      <c r="C13" s="48">
        <f>SUM(Expenses!$C$304:$E$304)</f>
        <v>2964.25</v>
      </c>
      <c r="D13" s="48">
        <f t="shared" si="0"/>
        <v>2052.3000000000002</v>
      </c>
      <c r="E13" s="155" t="s">
        <v>336</v>
      </c>
      <c r="U13" s="155"/>
    </row>
    <row r="14" spans="1:21" x14ac:dyDescent="0.35">
      <c r="A14" s="81" t="s">
        <v>462</v>
      </c>
      <c r="B14" s="48">
        <f>Expenses!$B$305</f>
        <v>-996.32</v>
      </c>
      <c r="C14" s="48">
        <f>SUM(Expenses!$C$305:$E$305)</f>
        <v>3298</v>
      </c>
      <c r="D14" s="48">
        <f t="shared" si="0"/>
        <v>2301.6799999999998</v>
      </c>
      <c r="E14" s="155" t="s">
        <v>336</v>
      </c>
      <c r="U14" s="155"/>
    </row>
    <row r="15" spans="1:21" x14ac:dyDescent="0.35">
      <c r="A15" s="81" t="s">
        <v>449</v>
      </c>
      <c r="B15" s="48">
        <f>Expenses!$B$306</f>
        <v>-963.7</v>
      </c>
      <c r="C15" s="48">
        <f>SUM(Expenses!$C$306:$E$306)</f>
        <v>3322.25</v>
      </c>
      <c r="D15" s="48">
        <f t="shared" si="0"/>
        <v>2358.5500000000002</v>
      </c>
      <c r="E15" s="155" t="s">
        <v>336</v>
      </c>
      <c r="U15" s="155"/>
    </row>
    <row r="16" spans="1:21" x14ac:dyDescent="0.35">
      <c r="A16" s="81" t="s">
        <v>457</v>
      </c>
      <c r="B16" s="48">
        <f>Expenses!$B$307</f>
        <v>-1835.44</v>
      </c>
      <c r="C16" s="48">
        <f>SUM(Expenses!$C$307:$E$307)</f>
        <v>1526.625</v>
      </c>
      <c r="D16" s="48">
        <f t="shared" si="0"/>
        <v>-308.81500000000005</v>
      </c>
      <c r="E16" s="155" t="s">
        <v>336</v>
      </c>
      <c r="U16" s="155"/>
    </row>
    <row r="17" spans="1:21" x14ac:dyDescent="0.35">
      <c r="A17" s="81" t="s">
        <v>576</v>
      </c>
      <c r="B17" s="48">
        <f>Expenses!$B$308</f>
        <v>-869.93</v>
      </c>
      <c r="C17" s="48">
        <f>SUM(Expenses!$C$308:$E$308)</f>
        <v>2044.5</v>
      </c>
      <c r="D17" s="48">
        <f>C17+B17</f>
        <v>1174.5700000000002</v>
      </c>
      <c r="E17" s="155" t="s">
        <v>336</v>
      </c>
      <c r="U17" s="155"/>
    </row>
    <row r="18" spans="1:21" x14ac:dyDescent="0.35">
      <c r="A18" s="81" t="s">
        <v>577</v>
      </c>
      <c r="B18" s="48">
        <f>Expenses!$B$309</f>
        <v>-2345.87</v>
      </c>
      <c r="C18" s="48">
        <f>SUM(Expenses!$C$309:$E$309)</f>
        <v>1763.875</v>
      </c>
      <c r="D18" s="48">
        <f t="shared" ref="D18:D21" si="1">C18+B18</f>
        <v>-581.99499999999989</v>
      </c>
      <c r="E18" s="155" t="s">
        <v>336</v>
      </c>
      <c r="U18" s="155"/>
    </row>
    <row r="19" spans="1:21" x14ac:dyDescent="0.35">
      <c r="A19" s="81" t="s">
        <v>572</v>
      </c>
      <c r="B19" s="48">
        <f>Expenses!$B$310</f>
        <v>-1581.39</v>
      </c>
      <c r="C19" s="48">
        <f>SUM(Expenses!$C$310:$E$310)</f>
        <v>2869.625</v>
      </c>
      <c r="D19" s="48">
        <f t="shared" si="1"/>
        <v>1288.2349999999999</v>
      </c>
      <c r="E19" s="155" t="s">
        <v>336</v>
      </c>
      <c r="U19" s="155"/>
    </row>
    <row r="20" spans="1:21" x14ac:dyDescent="0.35">
      <c r="A20" s="81" t="s">
        <v>578</v>
      </c>
      <c r="B20" s="48">
        <f>Expenses!$B$311</f>
        <v>-1280.1399999999999</v>
      </c>
      <c r="C20" s="48">
        <f>SUM(Expenses!$C$311:$E$311)</f>
        <v>2336.75</v>
      </c>
      <c r="D20" s="48">
        <f t="shared" si="1"/>
        <v>1056.6100000000001</v>
      </c>
      <c r="E20" s="155" t="s">
        <v>336</v>
      </c>
      <c r="U20" s="155"/>
    </row>
    <row r="21" spans="1:21" ht="15" thickBot="1" x14ac:dyDescent="0.4">
      <c r="A21" s="81" t="s">
        <v>579</v>
      </c>
      <c r="B21" s="48">
        <f>Expenses!$B$312</f>
        <v>-1674.6799999999998</v>
      </c>
      <c r="C21" s="48">
        <f>SUM(Expenses!$C$312:$E$312)</f>
        <v>992.5</v>
      </c>
      <c r="D21" s="48">
        <f t="shared" si="1"/>
        <v>-682.17999999999984</v>
      </c>
      <c r="E21" s="155" t="s">
        <v>336</v>
      </c>
      <c r="U21" s="155"/>
    </row>
    <row r="22" spans="1:21" ht="15" thickBot="1" x14ac:dyDescent="0.4">
      <c r="A22" s="71" t="s">
        <v>338</v>
      </c>
      <c r="B22" s="70">
        <f>SUM(B10:B21)</f>
        <v>-17795.09</v>
      </c>
      <c r="C22" s="70">
        <f>SUM(C10:C21)</f>
        <v>28404.375</v>
      </c>
      <c r="D22" s="70">
        <f>SUM(D10:D21)</f>
        <v>10609.285</v>
      </c>
      <c r="E22" s="70">
        <v>0</v>
      </c>
    </row>
    <row r="23" spans="1:21" ht="18.5" x14ac:dyDescent="0.45">
      <c r="A23" s="1" t="s">
        <v>1442</v>
      </c>
    </row>
    <row r="24" spans="1:21" ht="15" thickBot="1" x14ac:dyDescent="0.4">
      <c r="A24" s="67" t="s">
        <v>587</v>
      </c>
      <c r="B24" s="67" t="s">
        <v>588</v>
      </c>
      <c r="C24" s="67" t="s">
        <v>589</v>
      </c>
      <c r="D24" s="67" t="s">
        <v>879</v>
      </c>
      <c r="E24" s="67" t="s">
        <v>460</v>
      </c>
      <c r="F24" s="67" t="s">
        <v>880</v>
      </c>
      <c r="G24" s="67" t="s">
        <v>881</v>
      </c>
      <c r="H24" s="67" t="s">
        <v>882</v>
      </c>
      <c r="I24" s="67" t="s">
        <v>576</v>
      </c>
      <c r="J24" s="67" t="s">
        <v>883</v>
      </c>
      <c r="K24" s="67" t="s">
        <v>884</v>
      </c>
      <c r="L24" s="67" t="s">
        <v>578</v>
      </c>
      <c r="M24" s="67" t="s">
        <v>885</v>
      </c>
      <c r="N24" s="67" t="s">
        <v>325</v>
      </c>
    </row>
    <row r="25" spans="1:21" x14ac:dyDescent="0.35">
      <c r="A25" s="77" t="s">
        <v>547</v>
      </c>
      <c r="B25" s="48">
        <f>Expenses!C188</f>
        <v>-227.8</v>
      </c>
      <c r="C25" s="48">
        <f>Expenses!H188</f>
        <v>-300</v>
      </c>
      <c r="D25" s="48">
        <f>Expenses!M188</f>
        <v>0</v>
      </c>
      <c r="E25" s="48">
        <f>Expenses!R188</f>
        <v>0</v>
      </c>
      <c r="F25" s="48">
        <f>Expenses!W188</f>
        <v>0</v>
      </c>
      <c r="G25" s="48">
        <f>Expenses!AB188</f>
        <v>-69.94</v>
      </c>
      <c r="H25" s="48">
        <f>Expenses!AG188</f>
        <v>0</v>
      </c>
      <c r="I25" s="48">
        <f>Expenses!AL188</f>
        <v>0</v>
      </c>
      <c r="J25" s="48">
        <f>Expenses!AQ188</f>
        <v>-14.38</v>
      </c>
      <c r="K25" s="48">
        <f>Expenses!AV188</f>
        <v>0</v>
      </c>
      <c r="L25" s="48">
        <f>Expenses!BA188</f>
        <v>0</v>
      </c>
      <c r="M25" s="48">
        <f>Expenses!BF188</f>
        <v>0</v>
      </c>
      <c r="N25" s="82">
        <f>SUM(B25:L25)</f>
        <v>-612.12</v>
      </c>
    </row>
    <row r="26" spans="1:21" x14ac:dyDescent="0.35">
      <c r="A26" s="78" t="s">
        <v>327</v>
      </c>
      <c r="B26" s="48">
        <f>Expenses!C197</f>
        <v>-116</v>
      </c>
      <c r="C26" s="48">
        <f>Expenses!H196</f>
        <v>-144.05000000000001</v>
      </c>
      <c r="D26" s="48">
        <f>Expenses!M196</f>
        <v>-90.01</v>
      </c>
      <c r="E26" s="48">
        <f>Expenses!R195</f>
        <v>-50</v>
      </c>
      <c r="F26" s="48">
        <f>Expenses!W196</f>
        <v>-100</v>
      </c>
      <c r="G26" s="48">
        <f>Expenses!AB196</f>
        <v>-130</v>
      </c>
      <c r="H26" s="48">
        <f>Expenses!AG197</f>
        <v>-90</v>
      </c>
      <c r="I26" s="48">
        <f>Expenses!AL197</f>
        <v>-140</v>
      </c>
      <c r="J26" s="48">
        <f>Expenses!AQ197</f>
        <v>-92.25</v>
      </c>
      <c r="K26" s="48">
        <f>Expenses!AV197</f>
        <v>-145</v>
      </c>
      <c r="L26" s="48">
        <f>Expenses!BA197</f>
        <v>-166</v>
      </c>
      <c r="M26" s="48">
        <f>Expenses!BF197</f>
        <v>-165</v>
      </c>
      <c r="N26" s="83">
        <f t="shared" ref="N26:N35" si="2">SUM(B26:L26)</f>
        <v>-1263.31</v>
      </c>
    </row>
    <row r="27" spans="1:21" x14ac:dyDescent="0.35">
      <c r="A27" s="78" t="s">
        <v>585</v>
      </c>
      <c r="B27" s="48">
        <f>Expenses!C215</f>
        <v>-186.31000000000003</v>
      </c>
      <c r="C27" s="48">
        <f>Expenses!H214</f>
        <v>-150.23999999999998</v>
      </c>
      <c r="D27" s="48">
        <f>Expenses!M215</f>
        <v>-97.47999999999999</v>
      </c>
      <c r="E27" s="48">
        <f>Expenses!R212</f>
        <v>-120.97999999999999</v>
      </c>
      <c r="F27" s="48">
        <f>Expenses!W217</f>
        <v>-104.15</v>
      </c>
      <c r="G27" s="48">
        <f>Expenses!AB211</f>
        <v>-43.290000000000006</v>
      </c>
      <c r="H27" s="48">
        <f>Expenses!AG215</f>
        <v>-94.47999999999999</v>
      </c>
      <c r="I27" s="48">
        <f>Expenses!AL212</f>
        <v>-86.07</v>
      </c>
      <c r="J27" s="48">
        <f>Expenses!AQ210</f>
        <v>-42.63</v>
      </c>
      <c r="K27" s="48">
        <f>Expenses!AV216</f>
        <v>-145.67000000000002</v>
      </c>
      <c r="L27" s="48">
        <f>Expenses!BA215</f>
        <v>-86.280000000000015</v>
      </c>
      <c r="M27" s="48">
        <f>Expenses!BF218</f>
        <v>-142.24999999999997</v>
      </c>
      <c r="N27" s="83">
        <f t="shared" si="2"/>
        <v>-1157.58</v>
      </c>
    </row>
    <row r="28" spans="1:21" x14ac:dyDescent="0.35">
      <c r="A28" s="78" t="s">
        <v>551</v>
      </c>
      <c r="B28" s="48">
        <f>Expenses!C225</f>
        <v>-296.57</v>
      </c>
      <c r="C28" s="48">
        <f>Expenses!H221</f>
        <v>-149.38</v>
      </c>
      <c r="D28" s="48">
        <f>Expenses!M225</f>
        <v>-135.10999999999999</v>
      </c>
      <c r="E28" s="48">
        <f>Expenses!R222</f>
        <v>-138.85999999999999</v>
      </c>
      <c r="F28" s="48">
        <f>Expenses!W229</f>
        <v>-145.27000000000001</v>
      </c>
      <c r="G28" s="48">
        <f>Expenses!AB221</f>
        <v>-49.52</v>
      </c>
      <c r="H28" s="48">
        <f>Expenses!AG226</f>
        <v>-195.29</v>
      </c>
      <c r="I28" s="48">
        <f>Expenses!AL219</f>
        <v>-154.32999999999998</v>
      </c>
      <c r="J28" s="48">
        <f>Expenses!AQ230</f>
        <v>-517.9</v>
      </c>
      <c r="K28" s="48">
        <f>Expenses!AV225</f>
        <v>-28.12</v>
      </c>
      <c r="L28" s="48">
        <f>Expenses!BA225</f>
        <v>-114.91</v>
      </c>
      <c r="M28" s="48">
        <f>Expenses!BF229</f>
        <v>-186.76</v>
      </c>
      <c r="N28" s="83">
        <f t="shared" si="2"/>
        <v>-1925.26</v>
      </c>
    </row>
    <row r="29" spans="1:21" x14ac:dyDescent="0.35">
      <c r="A29" s="78" t="s">
        <v>334</v>
      </c>
      <c r="B29" s="48">
        <f>Expenses!C249</f>
        <v>-608.86</v>
      </c>
      <c r="C29" s="48">
        <f>Expenses!H243</f>
        <v>-588.75</v>
      </c>
      <c r="D29" s="48">
        <f>Expenses!M243</f>
        <v>-340.92999999999995</v>
      </c>
      <c r="E29" s="48">
        <f>Expenses!R231</f>
        <v>-88.699999999999989</v>
      </c>
      <c r="F29" s="48">
        <f>Expenses!W244</f>
        <v>-264.45000000000005</v>
      </c>
      <c r="G29" s="48">
        <f>Expenses!AB238</f>
        <v>-137.03</v>
      </c>
      <c r="H29" s="48">
        <f>Expenses!AG234</f>
        <v>-128.03</v>
      </c>
      <c r="I29" s="48">
        <f>Expenses!AL232</f>
        <v>-202.13</v>
      </c>
      <c r="J29" s="48">
        <f>Expenses!AQ255</f>
        <v>-447.88</v>
      </c>
      <c r="K29" s="48">
        <f>Expenses!AV244</f>
        <v>-346.96999999999997</v>
      </c>
      <c r="L29" s="48">
        <f>Expenses!BA252</f>
        <v>-642.93999999999994</v>
      </c>
      <c r="M29" s="48">
        <f>Expenses!BF250</f>
        <v>-534.65</v>
      </c>
      <c r="N29" s="83">
        <f t="shared" si="2"/>
        <v>-3796.67</v>
      </c>
    </row>
    <row r="30" spans="1:21" x14ac:dyDescent="0.35">
      <c r="A30" s="78" t="s">
        <v>549</v>
      </c>
      <c r="B30" s="48">
        <f>Expenses!C255</f>
        <v>-120</v>
      </c>
      <c r="C30" s="48">
        <f>Expenses!H249</f>
        <v>-120</v>
      </c>
      <c r="D30" s="48">
        <f>Expenses!M250</f>
        <v>-152</v>
      </c>
      <c r="E30" s="48">
        <f>Expenses!R237</f>
        <v>-200</v>
      </c>
      <c r="F30" s="48">
        <f>Expenses!W250</f>
        <v>0</v>
      </c>
      <c r="G30" s="48">
        <f>Expenses!AB244</f>
        <v>0</v>
      </c>
      <c r="H30" s="48">
        <f>Expenses!AG240</f>
        <v>0</v>
      </c>
      <c r="I30" s="48">
        <f>Expenses!AL241</f>
        <v>-94.35</v>
      </c>
      <c r="J30" s="48">
        <f>Expenses!AQ279</f>
        <v>-784.82999999999993</v>
      </c>
      <c r="K30" s="48">
        <f>Expenses!AV273</f>
        <v>-558.29000000000008</v>
      </c>
      <c r="L30" s="48">
        <f>Expenses!BA270</f>
        <v>-175.92</v>
      </c>
      <c r="M30" s="48">
        <f>Expenses!BF267</f>
        <v>-306.29999999999995</v>
      </c>
      <c r="N30" s="83">
        <f t="shared" si="2"/>
        <v>-2205.39</v>
      </c>
    </row>
    <row r="31" spans="1:21" x14ac:dyDescent="0.35">
      <c r="A31" s="78" t="s">
        <v>335</v>
      </c>
      <c r="B31" s="48">
        <f>Expenses!C262</f>
        <v>-124.56</v>
      </c>
      <c r="C31" s="48">
        <f>Expenses!H256</f>
        <v>-82.21</v>
      </c>
      <c r="D31" s="48">
        <f>Expenses!M263</f>
        <v>-462.81</v>
      </c>
      <c r="E31" s="48">
        <f>Expenses!R243</f>
        <v>-32</v>
      </c>
      <c r="F31" s="48">
        <f>Expenses!W256</f>
        <v>-40</v>
      </c>
      <c r="G31" s="48">
        <f>Expenses!AB251</f>
        <v>-437.95</v>
      </c>
      <c r="H31" s="48">
        <f>Expenses!AG246</f>
        <v>-1080</v>
      </c>
      <c r="I31" s="48">
        <f>Expenses!AL247</f>
        <v>-35</v>
      </c>
      <c r="J31" s="48">
        <f>Expenses!AQ289</f>
        <v>-254.46</v>
      </c>
      <c r="K31" s="48">
        <f>Expenses!AV284</f>
        <v>-81.5</v>
      </c>
      <c r="L31" s="48">
        <f>Expenses!BA277</f>
        <v>-69</v>
      </c>
      <c r="M31" s="48">
        <f>Expenses!BF274</f>
        <v>-85.5</v>
      </c>
      <c r="N31" s="83">
        <f t="shared" si="2"/>
        <v>-2699.49</v>
      </c>
    </row>
    <row r="32" spans="1:21" x14ac:dyDescent="0.35">
      <c r="A32" s="78" t="s">
        <v>550</v>
      </c>
      <c r="B32" s="48">
        <f>Expenses!C268</f>
        <v>0</v>
      </c>
      <c r="C32" s="48">
        <f>Expenses!H262</f>
        <v>0</v>
      </c>
      <c r="D32" s="48">
        <f>Expenses!M269</f>
        <v>-300</v>
      </c>
      <c r="E32" s="48">
        <f>Expenses!R249</f>
        <v>0</v>
      </c>
      <c r="F32" s="48">
        <f>Expenses!W262</f>
        <v>-28.18</v>
      </c>
      <c r="G32" s="48">
        <f>Expenses!AB257</f>
        <v>0</v>
      </c>
      <c r="H32" s="48">
        <f>Expenses!AG252</f>
        <v>0</v>
      </c>
      <c r="I32" s="48">
        <f>Expenses!AL253</f>
        <v>0</v>
      </c>
      <c r="J32" s="48">
        <f>Expenses!AQ295</f>
        <v>0</v>
      </c>
      <c r="K32" s="48">
        <f>Expenses!AV290</f>
        <v>0</v>
      </c>
      <c r="L32" s="48">
        <f>Expenses!BA283</f>
        <v>0</v>
      </c>
      <c r="M32" s="48">
        <f>Expenses!BF280</f>
        <v>0</v>
      </c>
      <c r="N32" s="83">
        <f t="shared" si="2"/>
        <v>-328.18</v>
      </c>
    </row>
    <row r="33" spans="1:14" x14ac:dyDescent="0.35">
      <c r="A33" s="78" t="s">
        <v>1218</v>
      </c>
      <c r="B33" s="48">
        <f>Expenses!C275</f>
        <v>-61.15</v>
      </c>
      <c r="C33" s="48">
        <f>Expenses!H271</f>
        <v>-193.05</v>
      </c>
      <c r="D33" s="48">
        <f>Expenses!M278</f>
        <v>-288.39999999999998</v>
      </c>
      <c r="E33" s="48">
        <f>Expenses!R260</f>
        <v>-281.40999999999997</v>
      </c>
      <c r="F33" s="48">
        <f>Expenses!W273</f>
        <v>-314.27</v>
      </c>
      <c r="G33" s="48">
        <f>Expenses!AB267</f>
        <v>-95.97</v>
      </c>
      <c r="H33" s="48">
        <f>Expenses!AG262</f>
        <v>-247.64</v>
      </c>
      <c r="I33" s="48">
        <f>Expenses!AL264</f>
        <v>-158.04999999999998</v>
      </c>
      <c r="J33" s="48">
        <f>Expenses!AQ304</f>
        <v>-191.54</v>
      </c>
      <c r="K33" s="48">
        <f>Expenses!AV301</f>
        <v>-275.83999999999997</v>
      </c>
      <c r="L33" s="48">
        <f>Expenses!BA294</f>
        <v>-25.089999999999996</v>
      </c>
      <c r="M33" s="48">
        <f>Expenses!BF292</f>
        <v>-254.21999999999997</v>
      </c>
      <c r="N33" s="83">
        <f t="shared" si="2"/>
        <v>-2132.41</v>
      </c>
    </row>
    <row r="34" spans="1:14" x14ac:dyDescent="0.35">
      <c r="A34" s="78" t="s">
        <v>442</v>
      </c>
      <c r="B34" s="48">
        <f>Expenses!C281</f>
        <v>0</v>
      </c>
      <c r="C34" s="48">
        <f>Expenses!H277</f>
        <v>-3315</v>
      </c>
      <c r="D34" s="48">
        <f>Expenses!M284</f>
        <v>0</v>
      </c>
      <c r="E34" s="48">
        <f>Expenses!R267</f>
        <v>-69.319999999999993</v>
      </c>
      <c r="F34" s="48">
        <f>Expenses!W279</f>
        <v>0</v>
      </c>
      <c r="G34" s="48">
        <f>Expenses!AB273</f>
        <v>-1900</v>
      </c>
      <c r="H34" s="48">
        <f>Expenses!AG268</f>
        <v>-20.84</v>
      </c>
      <c r="I34" s="48">
        <f>Expenses!AL270</f>
        <v>-264.81</v>
      </c>
      <c r="J34" s="48">
        <f>Expenses!AQ310</f>
        <v>-19.989999999999998</v>
      </c>
      <c r="K34" s="48">
        <f>Expenses!AV307</f>
        <v>-126.57</v>
      </c>
      <c r="L34" s="48">
        <f>Expenses!BA302</f>
        <v>-176.6</v>
      </c>
      <c r="M34" s="48">
        <f>Expenses!BF300</f>
        <v>-114.95</v>
      </c>
      <c r="N34" s="83">
        <f t="shared" si="2"/>
        <v>-5893.13</v>
      </c>
    </row>
    <row r="35" spans="1:14" ht="15" thickBot="1" x14ac:dyDescent="0.4">
      <c r="A35" s="78" t="s">
        <v>586</v>
      </c>
      <c r="B35" s="48">
        <f>Expenses!C295</f>
        <v>-125.05</v>
      </c>
      <c r="C35" s="48">
        <f>Expenses!H290</f>
        <v>-114.65</v>
      </c>
      <c r="D35" s="48">
        <f>Expenses!M298</f>
        <v>-75.81</v>
      </c>
      <c r="E35" s="48">
        <f>Expenses!R279</f>
        <v>-66.17</v>
      </c>
      <c r="F35" s="48">
        <f>Expenses!W293</f>
        <v>-68.73</v>
      </c>
      <c r="G35" s="48">
        <f>Expenses!AB287</f>
        <v>-110.4</v>
      </c>
      <c r="H35" s="48">
        <f>Expenses!AG282</f>
        <v>-126.24</v>
      </c>
      <c r="I35" s="48">
        <f>Expenses!AL288</f>
        <v>-95.259999999999991</v>
      </c>
      <c r="J35" s="48">
        <f>Expenses!AQ329</f>
        <v>-104.98</v>
      </c>
      <c r="K35" s="48">
        <f>Expenses!AV327</f>
        <v>-116.10000000000001</v>
      </c>
      <c r="L35" s="48">
        <f>Expenses!BA324</f>
        <v>-140.83000000000004</v>
      </c>
      <c r="M35" s="48">
        <f>Expenses!BF322</f>
        <v>-135.1</v>
      </c>
      <c r="N35" s="84">
        <f t="shared" si="2"/>
        <v>-1144.2200000000003</v>
      </c>
    </row>
    <row r="36" spans="1:14" ht="15" thickBot="1" x14ac:dyDescent="0.4">
      <c r="A36" s="72" t="s">
        <v>907</v>
      </c>
      <c r="B36" s="70">
        <f t="shared" ref="B36:N36" si="3">SUM(B25:B35)</f>
        <v>-1866.3</v>
      </c>
      <c r="C36" s="70">
        <f t="shared" si="3"/>
        <v>-5157.33</v>
      </c>
      <c r="D36" s="70">
        <f t="shared" si="3"/>
        <v>-1942.5499999999997</v>
      </c>
      <c r="E36" s="70">
        <f t="shared" si="3"/>
        <v>-1047.44</v>
      </c>
      <c r="F36" s="70">
        <f t="shared" si="3"/>
        <v>-1065.05</v>
      </c>
      <c r="G36" s="70">
        <f t="shared" si="3"/>
        <v>-2974.1</v>
      </c>
      <c r="H36" s="70">
        <f t="shared" si="3"/>
        <v>-1982.52</v>
      </c>
      <c r="I36" s="70">
        <f t="shared" si="3"/>
        <v>-1230</v>
      </c>
      <c r="J36" s="70">
        <f t="shared" si="3"/>
        <v>-2470.8399999999997</v>
      </c>
      <c r="K36" s="70">
        <f t="shared" si="3"/>
        <v>-1824.06</v>
      </c>
      <c r="L36" s="70">
        <f t="shared" si="3"/>
        <v>-1597.5699999999997</v>
      </c>
      <c r="M36" s="70">
        <f t="shared" si="3"/>
        <v>-1924.7299999999998</v>
      </c>
      <c r="N36" s="43">
        <f t="shared" si="3"/>
        <v>-23157.759999999998</v>
      </c>
    </row>
    <row r="37" spans="1:14" ht="19" thickBot="1" x14ac:dyDescent="0.5">
      <c r="A37" s="1" t="s">
        <v>1443</v>
      </c>
    </row>
    <row r="38" spans="1:14" ht="15" thickBot="1" x14ac:dyDescent="0.4">
      <c r="A38" s="77" t="s">
        <v>151</v>
      </c>
      <c r="B38" s="74">
        <f>'Crypto Ledger Wallet'!D16</f>
        <v>934.9890649294</v>
      </c>
      <c r="C38" s="80" t="s">
        <v>311</v>
      </c>
    </row>
    <row r="39" spans="1:14" x14ac:dyDescent="0.35">
      <c r="A39" s="78" t="s">
        <v>180</v>
      </c>
      <c r="B39" s="75">
        <f>'Crypto Ledger Wallet'!D37</f>
        <v>295.56258873693787</v>
      </c>
      <c r="C39" s="45">
        <f>'Crypto Ledger Wallet'!I104</f>
        <v>3852.0722983643009</v>
      </c>
    </row>
    <row r="40" spans="1:14" ht="15" thickBot="1" x14ac:dyDescent="0.4">
      <c r="A40" s="78" t="s">
        <v>140</v>
      </c>
      <c r="B40" s="75">
        <f>'Crypto Ledger Wallet'!D47</f>
        <v>29.5318279</v>
      </c>
      <c r="C40" s="80" t="s">
        <v>312</v>
      </c>
    </row>
    <row r="41" spans="1:14" x14ac:dyDescent="0.35">
      <c r="A41" s="78" t="s">
        <v>313</v>
      </c>
      <c r="B41" s="75">
        <f>'Crypto Ledger Wallet'!I61</f>
        <v>966.95465283778492</v>
      </c>
      <c r="C41" s="37" cm="1">
        <f t="array" ref="C41">Table34[Total Passive Earnings ($/Day)]</f>
        <v>3.7860646445205126</v>
      </c>
    </row>
    <row r="42" spans="1:14" ht="15" thickBot="1" x14ac:dyDescent="0.4">
      <c r="A42" s="78" t="s">
        <v>220</v>
      </c>
      <c r="B42" s="75">
        <f>'Crypto Ledger Wallet'!D60</f>
        <v>223.22833449999999</v>
      </c>
      <c r="C42" s="80" t="s">
        <v>314</v>
      </c>
    </row>
    <row r="43" spans="1:14" x14ac:dyDescent="0.35">
      <c r="A43" s="78" t="s">
        <v>245</v>
      </c>
      <c r="B43" s="75">
        <f>'Crypto Ledger Wallet'!D75</f>
        <v>68.120764386730016</v>
      </c>
      <c r="C43" s="37" cm="1">
        <f t="array" ref="C43">Table34[Total Passive Earnings ($/Week)]</f>
        <v>25.869213111622514</v>
      </c>
    </row>
    <row r="44" spans="1:14" ht="15" thickBot="1" x14ac:dyDescent="0.4">
      <c r="A44" s="78" t="s">
        <v>152</v>
      </c>
      <c r="B44" s="75">
        <f>'Crypto Ledger Wallet'!I8</f>
        <v>220.46</v>
      </c>
      <c r="C44" s="80" t="s">
        <v>314</v>
      </c>
    </row>
    <row r="45" spans="1:14" x14ac:dyDescent="0.35">
      <c r="A45" s="78" t="s">
        <v>315</v>
      </c>
      <c r="B45" s="75">
        <f>'Crypto Ledger Wallet'!I24</f>
        <v>188.72858739999998</v>
      </c>
      <c r="C45" s="37" cm="1">
        <f t="array" ref="C45">Table34[Total Passive Earnings ($/Month)]</f>
        <v>111.15452163553459</v>
      </c>
    </row>
    <row r="46" spans="1:14" ht="15" thickBot="1" x14ac:dyDescent="0.4">
      <c r="A46" s="78" t="s">
        <v>316</v>
      </c>
      <c r="B46" s="75">
        <f>'Crypto Ledger Wallet'!I35</f>
        <v>41.604999999999997</v>
      </c>
      <c r="C46" s="80" t="s">
        <v>317</v>
      </c>
    </row>
    <row r="47" spans="1:14" x14ac:dyDescent="0.35">
      <c r="A47" s="78" t="s">
        <v>318</v>
      </c>
      <c r="B47" s="75">
        <f>'Crypto Ledger Wallet'!I47</f>
        <v>181.69794096601072</v>
      </c>
      <c r="C47" s="37" cm="1">
        <f t="array" ref="C47">Table34[Total Passive Earnings ($/Year)]</f>
        <v>1328.7551050262252</v>
      </c>
    </row>
    <row r="48" spans="1:14" ht="15" thickBot="1" x14ac:dyDescent="0.4">
      <c r="A48" s="78" t="s">
        <v>218</v>
      </c>
      <c r="B48" s="75">
        <f>'Crypto Ledger Wallet'!I61</f>
        <v>966.95465283778492</v>
      </c>
      <c r="C48" s="80" t="s">
        <v>910</v>
      </c>
    </row>
    <row r="49" spans="1:3" ht="15" thickBot="1" x14ac:dyDescent="0.4">
      <c r="A49" s="79" t="s">
        <v>319</v>
      </c>
      <c r="B49" s="76">
        <f>'Crypto Ledger Wallet'!I77</f>
        <v>131.22816089390003</v>
      </c>
      <c r="C49" s="37">
        <f>'Crypto Claims'!F86</f>
        <v>217.99588581291388</v>
      </c>
    </row>
    <row r="50" spans="1:3" x14ac:dyDescent="0.35">
      <c r="A50" s="16" t="s">
        <v>161</v>
      </c>
      <c r="B50" s="13">
        <f>SUM(B38:B49)</f>
        <v>4249.0615753885486</v>
      </c>
    </row>
    <row r="52" spans="1:3" ht="15" thickBot="1" x14ac:dyDescent="0.4">
      <c r="A52" s="80" t="s">
        <v>320</v>
      </c>
    </row>
    <row r="53" spans="1:3" x14ac:dyDescent="0.35">
      <c r="A53" s="37">
        <f>B50+C39</f>
        <v>8101.1338737528495</v>
      </c>
    </row>
  </sheetData>
  <mergeCells count="1">
    <mergeCell ref="A2:O3"/>
  </mergeCells>
  <conditionalFormatting sqref="D10:D16">
    <cfRule type="iconSet" priority="2">
      <iconSet>
        <cfvo type="percent" val="0"/>
        <cfvo type="percent" val="33"/>
        <cfvo type="percent" val="67"/>
      </iconSet>
    </cfRule>
  </conditionalFormatting>
  <conditionalFormatting sqref="D17:D2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17E4A7A8-BD1F-4124-8833-FAAE48A34D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'2023-24 Portfolio "Dashboard"'!B25:L25</xm:f>
              <xm:sqref>O25</xm:sqref>
            </x14:sparkline>
            <x14:sparkline>
              <xm:f>'2023-24 Portfolio "Dashboard"'!B26:L26</xm:f>
              <xm:sqref>O26</xm:sqref>
            </x14:sparkline>
            <x14:sparkline>
              <xm:f>'2023-24 Portfolio "Dashboard"'!B27:L27</xm:f>
              <xm:sqref>O27</xm:sqref>
            </x14:sparkline>
            <x14:sparkline>
              <xm:f>'2023-24 Portfolio "Dashboard"'!B28:L28</xm:f>
              <xm:sqref>O28</xm:sqref>
            </x14:sparkline>
            <x14:sparkline>
              <xm:f>'2023-24 Portfolio "Dashboard"'!B29:L29</xm:f>
              <xm:sqref>O29</xm:sqref>
            </x14:sparkline>
            <x14:sparkline>
              <xm:f>'2023-24 Portfolio "Dashboard"'!B30:L30</xm:f>
              <xm:sqref>O30</xm:sqref>
            </x14:sparkline>
            <x14:sparkline>
              <xm:f>'2023-24 Portfolio "Dashboard"'!B31:L31</xm:f>
              <xm:sqref>O31</xm:sqref>
            </x14:sparkline>
            <x14:sparkline>
              <xm:f>'2023-24 Portfolio "Dashboard"'!B32:L32</xm:f>
              <xm:sqref>O32</xm:sqref>
            </x14:sparkline>
            <x14:sparkline>
              <xm:f>'2023-24 Portfolio "Dashboard"'!B33:L33</xm:f>
              <xm:sqref>O33</xm:sqref>
            </x14:sparkline>
            <x14:sparkline>
              <xm:f>'2023-24 Portfolio "Dashboard"'!B34:L34</xm:f>
              <xm:sqref>O34</xm:sqref>
            </x14:sparkline>
            <x14:sparkline>
              <xm:f>'2023-24 Portfolio "Dashboard"'!B35:L35</xm:f>
              <xm:sqref>O35</xm:sqref>
            </x14:sparkline>
            <x14:sparkline>
              <xm:f>'2023-24 Portfolio "Dashboard"'!B36:M36</xm:f>
              <xm:sqref>O36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CCDE-5ACB-45E4-9BCD-C32BC3EE916F}">
  <sheetPr codeName="Sheet3">
    <tabColor theme="4"/>
  </sheetPr>
  <dimension ref="A1:O53"/>
  <sheetViews>
    <sheetView zoomScale="48" zoomScaleNormal="46" workbookViewId="0">
      <selection activeCell="G61" sqref="G61"/>
    </sheetView>
  </sheetViews>
  <sheetFormatPr defaultRowHeight="14.5" x14ac:dyDescent="0.35"/>
  <cols>
    <col min="1" max="1" width="29.1796875" bestFit="1" customWidth="1"/>
    <col min="2" max="2" width="32.7265625" customWidth="1"/>
    <col min="3" max="3" width="40.26953125" bestFit="1" customWidth="1"/>
    <col min="4" max="5" width="19.6328125" customWidth="1"/>
    <col min="6" max="13" width="21.1796875" customWidth="1"/>
    <col min="14" max="14" width="14.54296875" customWidth="1"/>
    <col min="15" max="15" width="13.6328125" customWidth="1"/>
  </cols>
  <sheetData>
    <row r="1" spans="1:15" ht="8" customHeight="1" x14ac:dyDescent="0.35"/>
    <row r="2" spans="1:15" ht="14.5" customHeight="1" x14ac:dyDescent="0.35">
      <c r="A2" s="168" t="s">
        <v>1467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5" ht="14.5" customHeight="1" x14ac:dyDescent="0.35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5" ht="8.5" customHeight="1" x14ac:dyDescent="0.35"/>
    <row r="5" spans="1:15" x14ac:dyDescent="0.35">
      <c r="A5" s="73" t="s">
        <v>322</v>
      </c>
      <c r="B5" s="67" t="s">
        <v>323</v>
      </c>
      <c r="C5" s="67" t="s">
        <v>324</v>
      </c>
      <c r="D5" s="67" t="s">
        <v>325</v>
      </c>
      <c r="E5" s="67" t="s">
        <v>326</v>
      </c>
    </row>
    <row r="6" spans="1:15" ht="15" thickBot="1" x14ac:dyDescent="0.4">
      <c r="A6" s="49">
        <v>1185.1199999999999</v>
      </c>
      <c r="B6" s="49">
        <v>0</v>
      </c>
      <c r="C6" s="49">
        <v>256</v>
      </c>
      <c r="D6" s="49">
        <f>('2022-23 Portfolio "Dashboard"'!$A6+'2022-23 Portfolio "Dashboard"'!$C6)-'2022-23 Portfolio "Dashboard"'!$B6</f>
        <v>1441.12</v>
      </c>
      <c r="E6" s="49">
        <v>45</v>
      </c>
    </row>
    <row r="7" spans="1:15" x14ac:dyDescent="0.35">
      <c r="C7" s="48"/>
      <c r="D7" s="48"/>
    </row>
    <row r="8" spans="1:15" ht="18.5" x14ac:dyDescent="0.45">
      <c r="A8" s="1" t="s">
        <v>1437</v>
      </c>
      <c r="C8" s="48"/>
    </row>
    <row r="9" spans="1:15" x14ac:dyDescent="0.35">
      <c r="A9" s="67" t="s">
        <v>330</v>
      </c>
      <c r="B9" s="67" t="s">
        <v>321</v>
      </c>
      <c r="C9" s="67" t="s">
        <v>909</v>
      </c>
      <c r="D9" s="67" t="s">
        <v>331</v>
      </c>
      <c r="E9" s="67" t="s">
        <v>332</v>
      </c>
    </row>
    <row r="10" spans="1:15" x14ac:dyDescent="0.35">
      <c r="A10" s="69" t="s">
        <v>448</v>
      </c>
      <c r="B10" s="48">
        <f>Expenses!$A$157</f>
        <v>-995.40000000000009</v>
      </c>
      <c r="C10" s="48">
        <f>SUM(Expenses!$B$157:$D$157)</f>
        <v>1943.45</v>
      </c>
      <c r="D10" s="48">
        <f>'2022-23 Portfolio "Dashboard"'!$C10+('2022-23 Portfolio "Dashboard"'!$B10)</f>
        <v>948.05</v>
      </c>
      <c r="E10" s="155" t="s">
        <v>336</v>
      </c>
    </row>
    <row r="11" spans="1:15" x14ac:dyDescent="0.35">
      <c r="A11" s="69" t="s">
        <v>456</v>
      </c>
      <c r="B11" s="48">
        <f>Expenses!$A$160</f>
        <v>-1233.6999999999998</v>
      </c>
      <c r="C11" s="48">
        <f>SUM(Expenses!$B$160:$D$160)</f>
        <v>2782.5</v>
      </c>
      <c r="D11" s="48">
        <f>'2022-23 Portfolio "Dashboard"'!$C11+('2022-23 Portfolio "Dashboard"'!$B11)</f>
        <v>1548.8000000000002</v>
      </c>
      <c r="E11" s="155" t="s">
        <v>336</v>
      </c>
    </row>
    <row r="12" spans="1:15" x14ac:dyDescent="0.35">
      <c r="A12" s="69" t="s">
        <v>458</v>
      </c>
      <c r="B12" s="48">
        <f>Expenses!$A$163</f>
        <v>-881.65000000000009</v>
      </c>
      <c r="C12" s="48">
        <f>SUM(Expenses!$B$163:$D$163)</f>
        <v>2579.25</v>
      </c>
      <c r="D12" s="48">
        <f>'2022-23 Portfolio "Dashboard"'!$C12+('2022-23 Portfolio "Dashboard"'!$B12)</f>
        <v>1697.6</v>
      </c>
      <c r="E12" s="155" t="s">
        <v>336</v>
      </c>
    </row>
    <row r="13" spans="1:15" x14ac:dyDescent="0.35">
      <c r="A13" s="69" t="s">
        <v>460</v>
      </c>
      <c r="B13" s="48">
        <f>Expenses!$A$166</f>
        <v>-1516.86</v>
      </c>
      <c r="C13" s="48">
        <f>SUM(Expenses!$B$166:$D$166)</f>
        <v>3384</v>
      </c>
      <c r="D13" s="48">
        <f>'2022-23 Portfolio "Dashboard"'!$C13+('2022-23 Portfolio "Dashboard"'!$B13)</f>
        <v>1867.14</v>
      </c>
      <c r="E13" s="155" t="s">
        <v>336</v>
      </c>
    </row>
    <row r="14" spans="1:15" x14ac:dyDescent="0.35">
      <c r="A14" s="69" t="s">
        <v>462</v>
      </c>
      <c r="B14" s="48">
        <f>Expenses!$A$169</f>
        <v>-1375.68</v>
      </c>
      <c r="C14" s="48">
        <f>SUM(Expenses!$B$169:$D$169)</f>
        <v>1130</v>
      </c>
      <c r="D14" s="48">
        <f>'2022-23 Portfolio "Dashboard"'!$C14+('2022-23 Portfolio "Dashboard"'!$B14)</f>
        <v>-245.68000000000006</v>
      </c>
      <c r="E14" s="155" t="s">
        <v>336</v>
      </c>
    </row>
    <row r="15" spans="1:15" x14ac:dyDescent="0.35">
      <c r="A15" s="69" t="s">
        <v>449</v>
      </c>
      <c r="B15" s="48">
        <f>Expenses!$A$172</f>
        <v>-1206.44</v>
      </c>
      <c r="C15" s="48">
        <f>SUM(Expenses!$B$172:$D$172)</f>
        <v>1189.5</v>
      </c>
      <c r="D15" s="48">
        <f>'2022-23 Portfolio "Dashboard"'!$C15+('2022-23 Portfolio "Dashboard"'!$B15)</f>
        <v>-16.940000000000055</v>
      </c>
      <c r="E15" s="155" t="s">
        <v>336</v>
      </c>
    </row>
    <row r="16" spans="1:15" x14ac:dyDescent="0.35">
      <c r="A16" s="69" t="s">
        <v>457</v>
      </c>
      <c r="B16" s="48">
        <f>Expenses!$F$157</f>
        <v>-2427.13</v>
      </c>
      <c r="C16" s="48">
        <f>SUM(Expenses!$G$157:$I$157)</f>
        <v>1127</v>
      </c>
      <c r="D16" s="48">
        <f>'2022-23 Portfolio "Dashboard"'!$C16+('2022-23 Portfolio "Dashboard"'!$B16)</f>
        <v>-1300.1300000000001</v>
      </c>
      <c r="E16" s="155" t="s">
        <v>336</v>
      </c>
    </row>
    <row r="17" spans="1:14" x14ac:dyDescent="0.35">
      <c r="A17" s="69" t="s">
        <v>576</v>
      </c>
      <c r="B17" s="48">
        <f>Expenses!$F$160</f>
        <v>-2015.38</v>
      </c>
      <c r="C17" s="48">
        <f>SUM(Expenses!$G$160:$I$160)</f>
        <v>390</v>
      </c>
      <c r="D17" s="48">
        <f>'2022-23 Portfolio "Dashboard"'!$C17+('2022-23 Portfolio "Dashboard"'!$B17)</f>
        <v>-1625.38</v>
      </c>
      <c r="E17" s="155" t="s">
        <v>336</v>
      </c>
    </row>
    <row r="18" spans="1:14" x14ac:dyDescent="0.35">
      <c r="A18" s="69" t="s">
        <v>577</v>
      </c>
      <c r="B18" s="48">
        <f>Expenses!$F$163</f>
        <v>-1031.8799999999999</v>
      </c>
      <c r="C18" s="48">
        <f>SUM(Expenses!$G$163:$I$163)</f>
        <v>1041</v>
      </c>
      <c r="D18" s="48">
        <f>'2022-23 Portfolio "Dashboard"'!$C18+('2022-23 Portfolio "Dashboard"'!$B18)</f>
        <v>9.1200000000001182</v>
      </c>
      <c r="E18" s="155" t="s">
        <v>336</v>
      </c>
    </row>
    <row r="19" spans="1:14" x14ac:dyDescent="0.35">
      <c r="A19" s="69" t="s">
        <v>572</v>
      </c>
      <c r="B19" s="48">
        <f>Expenses!$F$166</f>
        <v>-1984.8100000000002</v>
      </c>
      <c r="C19" s="48">
        <f>SUM(Expenses!$G$166:$I$166)</f>
        <v>1020</v>
      </c>
      <c r="D19" s="48">
        <f>'2022-23 Portfolio "Dashboard"'!$C19+('2022-23 Portfolio "Dashboard"'!$B19)</f>
        <v>-964.81000000000017</v>
      </c>
      <c r="E19" s="155" t="s">
        <v>336</v>
      </c>
    </row>
    <row r="20" spans="1:14" x14ac:dyDescent="0.35">
      <c r="A20" s="69" t="s">
        <v>578</v>
      </c>
      <c r="B20" s="48">
        <f>Expenses!$F$169</f>
        <v>-669.2</v>
      </c>
      <c r="C20" s="48">
        <f>SUM(Expenses!$G$169:$I$169)</f>
        <v>1840.5</v>
      </c>
      <c r="D20" s="48">
        <f>'2022-23 Portfolio "Dashboard"'!$C20+('2022-23 Portfolio "Dashboard"'!$B20)</f>
        <v>1171.3</v>
      </c>
      <c r="E20" s="155" t="s">
        <v>336</v>
      </c>
    </row>
    <row r="21" spans="1:14" ht="15" thickBot="1" x14ac:dyDescent="0.4">
      <c r="A21" s="69" t="s">
        <v>579</v>
      </c>
      <c r="B21" s="48">
        <f>Expenses!$F$172</f>
        <v>-1211.1400000000001</v>
      </c>
      <c r="C21" s="48">
        <f>SUM(Expenses!$G$172:$I$172)</f>
        <v>2515.5</v>
      </c>
      <c r="D21" s="48">
        <f>'2022-23 Portfolio "Dashboard"'!$C21+('2022-23 Portfolio "Dashboard"'!$B21)</f>
        <v>1304.3599999999999</v>
      </c>
      <c r="E21" s="155" t="s">
        <v>336</v>
      </c>
    </row>
    <row r="22" spans="1:14" ht="15" thickBot="1" x14ac:dyDescent="0.4">
      <c r="A22" s="71" t="s">
        <v>338</v>
      </c>
      <c r="B22" s="70">
        <f>SUM('2022-23 Portfolio "Dashboard"'!$B$10:$B$21)</f>
        <v>-16549.27</v>
      </c>
      <c r="C22" s="70">
        <f>SUM('2022-23 Portfolio "Dashboard"'!$C$10:$C$21)</f>
        <v>20942.7</v>
      </c>
      <c r="D22" s="70">
        <f>SUM('2022-23 Portfolio "Dashboard"'!$D$10:$D$21)</f>
        <v>4393.43</v>
      </c>
      <c r="E22" s="70">
        <v>0</v>
      </c>
    </row>
    <row r="23" spans="1:14" ht="18.5" x14ac:dyDescent="0.45">
      <c r="A23" s="1" t="s">
        <v>1442</v>
      </c>
    </row>
    <row r="24" spans="1:14" ht="15" thickBot="1" x14ac:dyDescent="0.4">
      <c r="A24" s="67" t="s">
        <v>587</v>
      </c>
      <c r="B24" s="67" t="s">
        <v>588</v>
      </c>
      <c r="C24" s="67" t="s">
        <v>589</v>
      </c>
      <c r="D24" s="67" t="s">
        <v>879</v>
      </c>
      <c r="E24" s="67" t="s">
        <v>460</v>
      </c>
      <c r="F24" s="67" t="s">
        <v>880</v>
      </c>
      <c r="G24" s="67" t="s">
        <v>881</v>
      </c>
      <c r="H24" s="67" t="s">
        <v>882</v>
      </c>
      <c r="I24" s="67" t="s">
        <v>576</v>
      </c>
      <c r="J24" s="67" t="s">
        <v>883</v>
      </c>
      <c r="K24" s="67" t="s">
        <v>884</v>
      </c>
      <c r="L24" s="67" t="s">
        <v>578</v>
      </c>
      <c r="M24" s="67" t="s">
        <v>885</v>
      </c>
      <c r="N24" s="67" t="s">
        <v>325</v>
      </c>
    </row>
    <row r="25" spans="1:14" x14ac:dyDescent="0.35">
      <c r="A25" s="39" t="s">
        <v>547</v>
      </c>
      <c r="B25" s="48">
        <f>Expenses!C26</f>
        <v>0</v>
      </c>
      <c r="C25" s="48">
        <f>Expenses!H16</f>
        <v>0</v>
      </c>
      <c r="D25" s="48">
        <f>Expenses!M16</f>
        <v>0</v>
      </c>
      <c r="E25" s="48">
        <f>Expenses!R16</f>
        <v>-376.2</v>
      </c>
      <c r="F25" s="48">
        <f>Expenses!W16</f>
        <v>0</v>
      </c>
      <c r="G25" s="48">
        <f>Expenses!AB16</f>
        <v>-386.2</v>
      </c>
      <c r="H25" s="48">
        <f>Expenses!AG16</f>
        <v>0</v>
      </c>
      <c r="I25" s="48">
        <f>Expenses!AL16</f>
        <v>0</v>
      </c>
      <c r="J25" s="48">
        <f>Expenses!AQ16</f>
        <v>0</v>
      </c>
      <c r="K25" s="48">
        <f>Expenses!AV16</f>
        <v>0</v>
      </c>
      <c r="L25" s="48">
        <f>Expenses!BA16</f>
        <v>0</v>
      </c>
      <c r="M25" s="48">
        <f>Expenses!BF16</f>
        <v>0</v>
      </c>
      <c r="N25" s="39">
        <f>SUM(B25:M25)</f>
        <v>-762.4</v>
      </c>
    </row>
    <row r="26" spans="1:14" x14ac:dyDescent="0.35">
      <c r="A26" s="41" t="s">
        <v>327</v>
      </c>
      <c r="B26" s="48">
        <f>Expenses!C35</f>
        <v>-105.3</v>
      </c>
      <c r="C26" s="48">
        <f>Expenses!H25</f>
        <v>-95.3</v>
      </c>
      <c r="D26" s="48">
        <f>Expenses!M26</f>
        <v>-113.75</v>
      </c>
      <c r="E26" s="48">
        <f>Expenses!R25</f>
        <v>-110.01</v>
      </c>
      <c r="F26" s="48">
        <f>Expenses!W23</f>
        <v>-115</v>
      </c>
      <c r="G26" s="48">
        <f>Expenses!AB25</f>
        <v>-110.05</v>
      </c>
      <c r="H26" s="48">
        <f>Expenses!AG26</f>
        <v>-145.06</v>
      </c>
      <c r="I26" s="48">
        <f>Expenses!AL25</f>
        <v>-137.13</v>
      </c>
      <c r="J26" s="48">
        <f>Expenses!AQ26</f>
        <v>-175.25</v>
      </c>
      <c r="K26" s="48">
        <f>Expenses!AV27</f>
        <v>-165.26999999999998</v>
      </c>
      <c r="L26" s="48">
        <f>Expenses!BA23</f>
        <v>-66.05</v>
      </c>
      <c r="M26" s="48">
        <f>Expenses!BF25</f>
        <v>-120.01</v>
      </c>
      <c r="N26" s="41">
        <f t="shared" ref="N26:N35" si="0">SUM(B26:M26)</f>
        <v>-1458.1799999999998</v>
      </c>
    </row>
    <row r="27" spans="1:14" x14ac:dyDescent="0.35">
      <c r="A27" s="41" t="s">
        <v>585</v>
      </c>
      <c r="B27" s="48">
        <f>Expenses!C62</f>
        <v>-131.18</v>
      </c>
      <c r="C27" s="48">
        <f>Expenses!H56</f>
        <v>-211.29</v>
      </c>
      <c r="D27" s="48">
        <f>Expenses!M41</f>
        <v>-85.890000000000015</v>
      </c>
      <c r="E27" s="48">
        <f>Expenses!R47</f>
        <v>-117.32000000000004</v>
      </c>
      <c r="F27" s="48">
        <f>Expenses!W51</f>
        <v>-168.24</v>
      </c>
      <c r="G27" s="48">
        <f>Expenses!AB46</f>
        <v>-97.81</v>
      </c>
      <c r="H27" s="48">
        <f>Expenses!AG42</f>
        <v>-106.17000000000002</v>
      </c>
      <c r="I27" s="48">
        <f>Expenses!AL39</f>
        <v>-128.69</v>
      </c>
      <c r="J27" s="48">
        <f>Expenses!AQ40</f>
        <v>-72.41</v>
      </c>
      <c r="K27" s="48">
        <f>Expenses!AV44</f>
        <v>-103.99000000000001</v>
      </c>
      <c r="L27" s="48">
        <f>Expenses!BA36</f>
        <v>-66.64</v>
      </c>
      <c r="M27" s="48">
        <f>Expenses!BF40</f>
        <v>-92.620000000000019</v>
      </c>
      <c r="N27" s="41">
        <f t="shared" si="0"/>
        <v>-1382.2500000000005</v>
      </c>
    </row>
    <row r="28" spans="1:14" x14ac:dyDescent="0.35">
      <c r="A28" s="41" t="s">
        <v>551</v>
      </c>
      <c r="B28" s="48">
        <f>Expenses!C71</f>
        <v>-61.62</v>
      </c>
      <c r="C28" s="48">
        <f>Expenses!H63</f>
        <v>-48.79</v>
      </c>
      <c r="D28" s="48">
        <f>Expenses!M51</f>
        <v>-98.249999999999986</v>
      </c>
      <c r="E28" s="48">
        <f>Expenses!R58</f>
        <v>-122.39</v>
      </c>
      <c r="F28" s="48">
        <f>Expenses!W59</f>
        <v>-78.44</v>
      </c>
      <c r="G28" s="48">
        <f>Expenses!AB53</f>
        <v>-55.220000000000006</v>
      </c>
      <c r="H28" s="48">
        <f>Expenses!AG49</f>
        <v>-98.6</v>
      </c>
      <c r="I28" s="48">
        <f>Expenses!AL50</f>
        <v>-172.11</v>
      </c>
      <c r="J28" s="48">
        <f>Expenses!AQ51</f>
        <v>-117.55</v>
      </c>
      <c r="K28" s="48">
        <f>Expenses!AV58</f>
        <v>-436.75000000000006</v>
      </c>
      <c r="L28" s="48">
        <f>Expenses!BA49</f>
        <v>-184.70999999999998</v>
      </c>
      <c r="M28" s="48">
        <f>Expenses!BF49</f>
        <v>-214.22</v>
      </c>
      <c r="N28" s="41">
        <f t="shared" si="0"/>
        <v>-1688.65</v>
      </c>
    </row>
    <row r="29" spans="1:14" x14ac:dyDescent="0.35">
      <c r="A29" s="41" t="s">
        <v>334</v>
      </c>
      <c r="B29" s="48">
        <f>Expenses!C95</f>
        <v>-284.82</v>
      </c>
      <c r="C29" s="48">
        <f>Expenses!H85</f>
        <v>-195.71999999999997</v>
      </c>
      <c r="D29" s="48">
        <f>Expenses!M68</f>
        <v>-270.12000000000006</v>
      </c>
      <c r="E29" s="48">
        <f>Expenses!R82</f>
        <v>-239.69</v>
      </c>
      <c r="F29" s="48">
        <f>Expenses!W93</f>
        <v>-557.11999999999989</v>
      </c>
      <c r="G29" s="48">
        <f>Expenses!AB71</f>
        <v>-153.81</v>
      </c>
      <c r="H29" s="48">
        <f>Expenses!AG73</f>
        <v>-681.86999999999989</v>
      </c>
      <c r="I29" s="48">
        <f>Expenses!AL70</f>
        <v>-455.26000000000005</v>
      </c>
      <c r="J29" s="48">
        <f>Expenses!AQ70</f>
        <v>-279.95999999999998</v>
      </c>
      <c r="K29" s="48">
        <f>Expenses!AV89</f>
        <v>-742.96</v>
      </c>
      <c r="L29" s="48">
        <f>Expenses!BA59</f>
        <v>-85.059999999999988</v>
      </c>
      <c r="M29" s="48">
        <f>Expenses!BF71</f>
        <v>-466.16</v>
      </c>
      <c r="N29" s="41">
        <f t="shared" si="0"/>
        <v>-4412.55</v>
      </c>
    </row>
    <row r="30" spans="1:14" x14ac:dyDescent="0.35">
      <c r="A30" s="41" t="s">
        <v>549</v>
      </c>
      <c r="B30" s="48">
        <f>Expenses!C111</f>
        <v>-173</v>
      </c>
      <c r="C30" s="48">
        <f>Expenses!H99</f>
        <v>-191</v>
      </c>
      <c r="D30" s="48">
        <f>Expenses!M79</f>
        <v>-112.64</v>
      </c>
      <c r="E30" s="48">
        <f>Expenses!R97</f>
        <v>-201.46</v>
      </c>
      <c r="F30" s="48">
        <f>Expenses!W105</f>
        <v>-110</v>
      </c>
      <c r="G30" s="48">
        <f>Expenses!AB81</f>
        <v>-80</v>
      </c>
      <c r="H30" s="48">
        <f>Expenses!AG80</f>
        <v>-100</v>
      </c>
      <c r="I30" s="48">
        <f>Expenses!AL80</f>
        <v>-150</v>
      </c>
      <c r="J30" s="48">
        <f>Expenses!AQ80</f>
        <v>-95</v>
      </c>
      <c r="K30" s="48">
        <f>Expenses!AV96</f>
        <v>-120</v>
      </c>
      <c r="L30" s="48">
        <f>Expenses!BA67</f>
        <v>-160</v>
      </c>
      <c r="M30" s="48">
        <f>Expenses!BF78</f>
        <v>-120</v>
      </c>
      <c r="N30" s="41">
        <f t="shared" si="0"/>
        <v>-1613.1</v>
      </c>
    </row>
    <row r="31" spans="1:14" x14ac:dyDescent="0.35">
      <c r="A31" s="41" t="s">
        <v>335</v>
      </c>
      <c r="B31" s="48">
        <f>Expenses!C117</f>
        <v>-6.25</v>
      </c>
      <c r="C31" s="48">
        <f>Expenses!H109</f>
        <v>-298.77999999999997</v>
      </c>
      <c r="D31" s="48">
        <f>Expenses!M85</f>
        <v>0</v>
      </c>
      <c r="E31" s="48">
        <f>Expenses!R103</f>
        <v>-27</v>
      </c>
      <c r="F31" s="48">
        <f>Expenses!W110</f>
        <v>-48.38</v>
      </c>
      <c r="G31" s="48">
        <f>Expenses!AB86</f>
        <v>-10</v>
      </c>
      <c r="H31" s="48">
        <f>Expenses!AG88</f>
        <v>-123</v>
      </c>
      <c r="I31" s="48">
        <f>Expenses!AL86</f>
        <v>-56.95</v>
      </c>
      <c r="J31" s="48">
        <f>Expenses!AQ85</f>
        <v>-24</v>
      </c>
      <c r="K31" s="48">
        <f>Expenses!AV107</f>
        <v>-118.4</v>
      </c>
      <c r="L31" s="48">
        <f>Expenses!BA74</f>
        <v>-51.94</v>
      </c>
      <c r="M31" s="48">
        <f>Expenses!BF86</f>
        <v>-66.5</v>
      </c>
      <c r="N31" s="41">
        <f t="shared" si="0"/>
        <v>-831.2</v>
      </c>
    </row>
    <row r="32" spans="1:14" x14ac:dyDescent="0.35">
      <c r="A32" s="41" t="s">
        <v>550</v>
      </c>
      <c r="B32" s="48">
        <f>Expenses!C123</f>
        <v>-19.989999999999998</v>
      </c>
      <c r="C32" s="48">
        <f>Expenses!H115</f>
        <v>50</v>
      </c>
      <c r="D32" s="48">
        <f>Expenses!M91</f>
        <v>0</v>
      </c>
      <c r="E32" s="48">
        <f>Expenses!R109</f>
        <v>-62.33</v>
      </c>
      <c r="F32" s="48">
        <f>Expenses!W115</f>
        <v>-23.04</v>
      </c>
      <c r="G32" s="48">
        <f>Expenses!AB92</f>
        <v>0</v>
      </c>
      <c r="H32" s="48">
        <f>Expenses!AG113</f>
        <v>-896.75</v>
      </c>
      <c r="I32" s="48">
        <f>Expenses!AL92</f>
        <v>-529.37</v>
      </c>
      <c r="J32" s="48">
        <f>Expenses!AQ94</f>
        <v>-18.600000000000001</v>
      </c>
      <c r="K32" s="48">
        <f>Expenses!AV112</f>
        <v>-58.38</v>
      </c>
      <c r="L32" s="48">
        <f>Expenses!BA80</f>
        <v>0</v>
      </c>
      <c r="M32" s="48">
        <f>Expenses!BF92</f>
        <v>-100</v>
      </c>
      <c r="N32" s="41">
        <f t="shared" si="0"/>
        <v>-1658.46</v>
      </c>
    </row>
    <row r="33" spans="1:14" x14ac:dyDescent="0.35">
      <c r="A33" s="41" t="s">
        <v>1218</v>
      </c>
      <c r="B33" s="48">
        <f>Expenses!C132</f>
        <v>-213.24</v>
      </c>
      <c r="C33" s="48">
        <f>Expenses!H125</f>
        <v>-242.82000000000005</v>
      </c>
      <c r="D33" s="48">
        <f>Expenses!M101</f>
        <v>-201.00000000000006</v>
      </c>
      <c r="E33" s="48">
        <f>Expenses!R119</f>
        <v>-260.46000000000004</v>
      </c>
      <c r="F33" s="48">
        <f>Expenses!W125</f>
        <v>-275.45999999999998</v>
      </c>
      <c r="G33" s="48">
        <f>Expenses!AB102</f>
        <v>-313.35000000000008</v>
      </c>
      <c r="H33" s="48">
        <f>Expenses!AG122</f>
        <v>-275.68000000000006</v>
      </c>
      <c r="I33" s="48">
        <f>Expenses!AL104</f>
        <v>-385.86999999999995</v>
      </c>
      <c r="J33" s="48">
        <f>Expenses!AQ103</f>
        <v>-148.70999999999998</v>
      </c>
      <c r="K33" s="48">
        <f>Expenses!AV125</f>
        <v>-239.06</v>
      </c>
      <c r="L33" s="48">
        <f>Expenses!BA87</f>
        <v>-54.8</v>
      </c>
      <c r="M33" s="48">
        <f>Expenses!BF98</f>
        <v>-31.63</v>
      </c>
      <c r="N33" s="41">
        <f t="shared" si="0"/>
        <v>-2642.0800000000008</v>
      </c>
    </row>
    <row r="34" spans="1:14" x14ac:dyDescent="0.35">
      <c r="A34" s="41" t="s">
        <v>442</v>
      </c>
      <c r="B34" s="48">
        <f>Expenses!C138</f>
        <v>0</v>
      </c>
      <c r="C34" s="48">
        <f>Expenses!H131</f>
        <v>0</v>
      </c>
      <c r="D34" s="48">
        <f>Expenses!M107</f>
        <v>0</v>
      </c>
      <c r="E34" s="48">
        <f>Expenses!R125</f>
        <v>0</v>
      </c>
      <c r="F34" s="48">
        <f>Expenses!W131</f>
        <v>-960</v>
      </c>
      <c r="G34" s="48">
        <f>Expenses!AB108</f>
        <v>0</v>
      </c>
      <c r="H34" s="48">
        <f>Expenses!AG128</f>
        <v>0</v>
      </c>
      <c r="I34" s="48">
        <f>Expenses!AL110</f>
        <v>0</v>
      </c>
      <c r="J34" s="48">
        <f>Expenses!AQ109</f>
        <v>-2166</v>
      </c>
      <c r="K34" s="48">
        <f>Expenses!AV131</f>
        <v>0</v>
      </c>
      <c r="L34" s="48">
        <f>Expenses!BA88</f>
        <v>0</v>
      </c>
      <c r="M34" s="48">
        <f>Expenses!BF104</f>
        <v>0</v>
      </c>
      <c r="N34" s="41">
        <f t="shared" si="0"/>
        <v>-3126</v>
      </c>
    </row>
    <row r="35" spans="1:14" ht="15" thickBot="1" x14ac:dyDescent="0.4">
      <c r="A35" s="41" t="s">
        <v>586</v>
      </c>
      <c r="B35" s="48">
        <f>Expenses!C152</f>
        <v>-66</v>
      </c>
      <c r="C35" s="48">
        <f>Expenses!H146</f>
        <v>-132.69999999999999</v>
      </c>
      <c r="D35" s="48">
        <f>Expenses!M123</f>
        <v>-130.94999999999999</v>
      </c>
      <c r="E35" s="48">
        <f>Expenses!R141</f>
        <v>-137.94999999999999</v>
      </c>
      <c r="F35" s="48">
        <f>Expenses!W146</f>
        <v>-101.94</v>
      </c>
      <c r="G35" s="48">
        <f>Expenses!AB124</f>
        <v>-105.95</v>
      </c>
      <c r="H35" s="48">
        <f>Expenses!AG145</f>
        <v>-125.94000000000001</v>
      </c>
      <c r="I35" s="48">
        <f>Expenses!AL129</f>
        <v>-176</v>
      </c>
      <c r="J35" s="48">
        <f>Expenses!AQ132</f>
        <v>-155.01999999999998</v>
      </c>
      <c r="K35" s="48">
        <f>Expenses!AV158</f>
        <v>-237.14000000000001</v>
      </c>
      <c r="L35" s="48">
        <f>Expenses!BA114</f>
        <v>-147.17000000000002</v>
      </c>
      <c r="M35" s="48">
        <f>Expenses!BF121</f>
        <v>-98.04</v>
      </c>
      <c r="N35" s="41">
        <f t="shared" si="0"/>
        <v>-1614.8000000000002</v>
      </c>
    </row>
    <row r="36" spans="1:14" ht="15" thickBot="1" x14ac:dyDescent="0.4">
      <c r="A36" s="72" t="s">
        <v>907</v>
      </c>
      <c r="B36" s="70">
        <f>SUM(B25:B35)</f>
        <v>-1061.4000000000001</v>
      </c>
      <c r="C36" s="70">
        <f t="shared" ref="C36:M36" si="1">SUM(C25:C35)</f>
        <v>-1366.3999999999999</v>
      </c>
      <c r="D36" s="70">
        <f t="shared" si="1"/>
        <v>-1012.6000000000001</v>
      </c>
      <c r="E36" s="70">
        <f t="shared" si="1"/>
        <v>-1654.81</v>
      </c>
      <c r="F36" s="70">
        <f t="shared" si="1"/>
        <v>-2437.6200000000003</v>
      </c>
      <c r="G36" s="70">
        <f t="shared" si="1"/>
        <v>-1312.39</v>
      </c>
      <c r="H36" s="70">
        <f t="shared" si="1"/>
        <v>-2553.0700000000002</v>
      </c>
      <c r="I36" s="70">
        <f t="shared" si="1"/>
        <v>-2191.38</v>
      </c>
      <c r="J36" s="70">
        <f t="shared" si="1"/>
        <v>-3252.5</v>
      </c>
      <c r="K36" s="70">
        <f t="shared" si="1"/>
        <v>-2221.9500000000003</v>
      </c>
      <c r="L36" s="70">
        <f t="shared" si="1"/>
        <v>-816.37000000000012</v>
      </c>
      <c r="M36" s="70">
        <f t="shared" si="1"/>
        <v>-1309.18</v>
      </c>
      <c r="N36" s="68">
        <f>SUM(N25:N35)</f>
        <v>-21189.670000000002</v>
      </c>
    </row>
    <row r="37" spans="1:14" ht="19" thickBot="1" x14ac:dyDescent="0.5">
      <c r="A37" s="1" t="s">
        <v>1443</v>
      </c>
    </row>
    <row r="38" spans="1:14" ht="15" thickBot="1" x14ac:dyDescent="0.4">
      <c r="A38" s="39" t="s">
        <v>151</v>
      </c>
      <c r="B38" s="74">
        <f>'Crypto Ledger Wallet'!D16</f>
        <v>934.9890649294</v>
      </c>
      <c r="C38" s="40" t="s">
        <v>311</v>
      </c>
    </row>
    <row r="39" spans="1:14" x14ac:dyDescent="0.35">
      <c r="A39" s="41" t="s">
        <v>180</v>
      </c>
      <c r="B39" s="75">
        <f>'Crypto Ledger Wallet'!D37</f>
        <v>295.56258873693787</v>
      </c>
      <c r="C39" s="45">
        <f>'Crypto Ledger Wallet'!I104</f>
        <v>3852.0722983643009</v>
      </c>
    </row>
    <row r="40" spans="1:14" ht="15" thickBot="1" x14ac:dyDescent="0.4">
      <c r="A40" s="41" t="s">
        <v>140</v>
      </c>
      <c r="B40" s="75">
        <f>'Crypto Ledger Wallet'!D47</f>
        <v>29.5318279</v>
      </c>
      <c r="C40" s="40" t="s">
        <v>312</v>
      </c>
    </row>
    <row r="41" spans="1:14" x14ac:dyDescent="0.35">
      <c r="A41" s="41" t="s">
        <v>313</v>
      </c>
      <c r="B41" s="75">
        <f>'Crypto Ledger Wallet'!I61</f>
        <v>966.95465283778492</v>
      </c>
      <c r="C41" s="37" cm="1">
        <f t="array" ref="C41">Table34[Total Passive Earnings ($/Day)]</f>
        <v>3.7860646445205126</v>
      </c>
    </row>
    <row r="42" spans="1:14" ht="15" thickBot="1" x14ac:dyDescent="0.4">
      <c r="A42" s="41" t="s">
        <v>220</v>
      </c>
      <c r="B42" s="75">
        <f>'Crypto Ledger Wallet'!D60</f>
        <v>223.22833449999999</v>
      </c>
      <c r="C42" s="40" t="s">
        <v>314</v>
      </c>
    </row>
    <row r="43" spans="1:14" x14ac:dyDescent="0.35">
      <c r="A43" s="41" t="s">
        <v>245</v>
      </c>
      <c r="B43" s="75">
        <f>'Crypto Ledger Wallet'!D75</f>
        <v>68.120764386730016</v>
      </c>
      <c r="C43" s="37" cm="1">
        <f t="array" ref="C43">Table34[Total Passive Earnings ($/Week)]</f>
        <v>25.869213111622514</v>
      </c>
    </row>
    <row r="44" spans="1:14" ht="15" thickBot="1" x14ac:dyDescent="0.4">
      <c r="A44" s="41" t="s">
        <v>152</v>
      </c>
      <c r="B44" s="75">
        <f>'Crypto Ledger Wallet'!I8</f>
        <v>220.46</v>
      </c>
      <c r="C44" s="40" t="s">
        <v>314</v>
      </c>
    </row>
    <row r="45" spans="1:14" x14ac:dyDescent="0.35">
      <c r="A45" s="41" t="s">
        <v>315</v>
      </c>
      <c r="B45" s="75">
        <f>'Crypto Ledger Wallet'!I24</f>
        <v>188.72858739999998</v>
      </c>
      <c r="C45" s="37" cm="1">
        <f t="array" ref="C45">Table34[Total Passive Earnings ($/Month)]</f>
        <v>111.15452163553459</v>
      </c>
    </row>
    <row r="46" spans="1:14" ht="15" thickBot="1" x14ac:dyDescent="0.4">
      <c r="A46" s="41" t="s">
        <v>316</v>
      </c>
      <c r="B46" s="75">
        <f>'Crypto Ledger Wallet'!I35</f>
        <v>41.604999999999997</v>
      </c>
      <c r="C46" s="40" t="s">
        <v>317</v>
      </c>
    </row>
    <row r="47" spans="1:14" x14ac:dyDescent="0.35">
      <c r="A47" s="41" t="s">
        <v>318</v>
      </c>
      <c r="B47" s="75">
        <f>'Crypto Ledger Wallet'!I47</f>
        <v>181.69794096601072</v>
      </c>
      <c r="C47" s="37" cm="1">
        <f t="array" ref="C47">Table34[Total Passive Earnings ($/Year)]</f>
        <v>1328.7551050262252</v>
      </c>
    </row>
    <row r="48" spans="1:14" ht="15" thickBot="1" x14ac:dyDescent="0.4">
      <c r="A48" s="41" t="s">
        <v>218</v>
      </c>
      <c r="B48" s="75">
        <f>'Crypto Ledger Wallet'!I61</f>
        <v>966.95465283778492</v>
      </c>
      <c r="C48" s="40" t="s">
        <v>910</v>
      </c>
    </row>
    <row r="49" spans="1:3" ht="15" thickBot="1" x14ac:dyDescent="0.4">
      <c r="A49" s="43" t="s">
        <v>319</v>
      </c>
      <c r="B49" s="76">
        <f>'Crypto Ledger Wallet'!I77</f>
        <v>131.22816089390003</v>
      </c>
      <c r="C49" s="37">
        <f>'Crypto Claims'!F86</f>
        <v>217.99588581291388</v>
      </c>
    </row>
    <row r="50" spans="1:3" x14ac:dyDescent="0.35">
      <c r="A50" s="16" t="s">
        <v>161</v>
      </c>
      <c r="B50" s="37">
        <f>SUM(B38:B49)</f>
        <v>4249.0615753885486</v>
      </c>
    </row>
    <row r="52" spans="1:3" ht="15" thickBot="1" x14ac:dyDescent="0.4">
      <c r="A52" s="40" t="s">
        <v>320</v>
      </c>
    </row>
    <row r="53" spans="1:3" x14ac:dyDescent="0.35">
      <c r="A53" s="37">
        <f>B50+C39</f>
        <v>8101.1338737528495</v>
      </c>
    </row>
  </sheetData>
  <mergeCells count="1">
    <mergeCell ref="A2:O3"/>
  </mergeCells>
  <conditionalFormatting sqref="D10:D16">
    <cfRule type="iconSet" priority="2">
      <iconSet>
        <cfvo type="percent" val="0"/>
        <cfvo type="percent" val="33"/>
        <cfvo type="percent" val="67"/>
      </iconSet>
    </cfRule>
  </conditionalFormatting>
  <conditionalFormatting sqref="D17:D2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DEC6E3A0-885E-4A32-AAFE-297CAE7E2F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'2022-23 Portfolio "Dashboard"'!B25:M25</xm:f>
              <xm:sqref>O25</xm:sqref>
            </x14:sparkline>
            <x14:sparkline>
              <xm:f>'2022-23 Portfolio "Dashboard"'!B26:M26</xm:f>
              <xm:sqref>O26</xm:sqref>
            </x14:sparkline>
            <x14:sparkline>
              <xm:f>'2022-23 Portfolio "Dashboard"'!B27:M27</xm:f>
              <xm:sqref>O27</xm:sqref>
            </x14:sparkline>
            <x14:sparkline>
              <xm:f>'2022-23 Portfolio "Dashboard"'!B28:M28</xm:f>
              <xm:sqref>O28</xm:sqref>
            </x14:sparkline>
            <x14:sparkline>
              <xm:f>'2022-23 Portfolio "Dashboard"'!B29:M29</xm:f>
              <xm:sqref>O29</xm:sqref>
            </x14:sparkline>
            <x14:sparkline>
              <xm:f>'2022-23 Portfolio "Dashboard"'!B30:M30</xm:f>
              <xm:sqref>O30</xm:sqref>
            </x14:sparkline>
            <x14:sparkline>
              <xm:f>'2022-23 Portfolio "Dashboard"'!B31:M31</xm:f>
              <xm:sqref>O31</xm:sqref>
            </x14:sparkline>
            <x14:sparkline>
              <xm:f>'2022-23 Portfolio "Dashboard"'!B32:M32</xm:f>
              <xm:sqref>O32</xm:sqref>
            </x14:sparkline>
            <x14:sparkline>
              <xm:f>'2022-23 Portfolio "Dashboard"'!B33:M33</xm:f>
              <xm:sqref>O33</xm:sqref>
            </x14:sparkline>
            <x14:sparkline>
              <xm:f>'2022-23 Portfolio "Dashboard"'!B34:M34</xm:f>
              <xm:sqref>O34</xm:sqref>
            </x14:sparkline>
            <x14:sparkline>
              <xm:f>'2022-23 Portfolio "Dashboard"'!B35:M35</xm:f>
              <xm:sqref>O35</xm:sqref>
            </x14:sparkline>
            <x14:sparkline>
              <xm:f>'2022-23 Portfolio "Dashboard"'!B36:M36</xm:f>
              <xm:sqref>O36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BC48-F1B8-480B-9E06-1B1B48223AFB}">
  <sheetPr codeName="Sheet6">
    <tabColor theme="4" tint="0.39997558519241921"/>
  </sheetPr>
  <dimension ref="A1:I125"/>
  <sheetViews>
    <sheetView zoomScale="61" workbookViewId="0">
      <selection sqref="A1:B1"/>
    </sheetView>
  </sheetViews>
  <sheetFormatPr defaultRowHeight="14.5" x14ac:dyDescent="0.35"/>
  <cols>
    <col min="1" max="1" width="32.6328125" customWidth="1"/>
    <col min="2" max="2" width="29.90625" customWidth="1"/>
    <col min="3" max="3" width="27.08984375" customWidth="1"/>
    <col min="4" max="4" width="20" customWidth="1"/>
    <col min="5" max="5" width="10.81640625" customWidth="1"/>
    <col min="6" max="6" width="29.54296875" customWidth="1"/>
    <col min="7" max="8" width="20" customWidth="1"/>
    <col min="9" max="9" width="22.36328125" customWidth="1"/>
  </cols>
  <sheetData>
    <row r="1" spans="1:9" ht="23.5" x14ac:dyDescent="0.55000000000000004">
      <c r="A1" s="169" t="s">
        <v>15</v>
      </c>
      <c r="B1" s="169"/>
    </row>
    <row r="2" spans="1:9" ht="18.5" x14ac:dyDescent="0.45">
      <c r="A2" s="170" t="s">
        <v>1373</v>
      </c>
      <c r="B2" s="170"/>
    </row>
    <row r="3" spans="1:9" x14ac:dyDescent="0.35">
      <c r="D3" s="2" t="s">
        <v>150</v>
      </c>
    </row>
    <row r="4" spans="1:9" ht="19" thickBot="1" x14ac:dyDescent="0.5">
      <c r="A4" s="1" t="s">
        <v>151</v>
      </c>
      <c r="D4" s="2" t="s">
        <v>1241</v>
      </c>
      <c r="F4" s="1" t="s">
        <v>152</v>
      </c>
      <c r="I4" s="2" t="s">
        <v>1241</v>
      </c>
    </row>
    <row r="5" spans="1:9" ht="15" thickBot="1" x14ac:dyDescent="0.4">
      <c r="A5" s="85" t="s">
        <v>153</v>
      </c>
      <c r="B5" s="86" t="s">
        <v>23</v>
      </c>
      <c r="C5" s="86" t="s">
        <v>154</v>
      </c>
      <c r="D5" s="86" t="s">
        <v>119</v>
      </c>
      <c r="F5" s="85" t="s">
        <v>155</v>
      </c>
      <c r="G5" s="86" t="s">
        <v>23</v>
      </c>
      <c r="H5" s="86" t="s">
        <v>154</v>
      </c>
      <c r="I5" s="86" t="s">
        <v>119</v>
      </c>
    </row>
    <row r="6" spans="1:9" x14ac:dyDescent="0.35">
      <c r="A6" s="109" t="s">
        <v>156</v>
      </c>
      <c r="B6" s="131"/>
      <c r="C6" s="109"/>
      <c r="D6" s="109"/>
      <c r="F6" s="109" t="s">
        <v>157</v>
      </c>
      <c r="G6" s="131" t="s">
        <v>50</v>
      </c>
      <c r="H6" s="109">
        <v>217.99</v>
      </c>
      <c r="I6" s="111">
        <f>'Crypto Ledger Wallet'!$H6</f>
        <v>217.99</v>
      </c>
    </row>
    <row r="7" spans="1:9" ht="15" thickBot="1" x14ac:dyDescent="0.4">
      <c r="A7" t="s">
        <v>67</v>
      </c>
      <c r="B7" s="2" t="s">
        <v>1185</v>
      </c>
      <c r="C7">
        <v>5.0104800000000003</v>
      </c>
      <c r="D7" s="112">
        <f>'Crypto Ledger Wallet'!$C7*'Crypto Market Price Data'!$C$9</f>
        <v>620.69826239999998</v>
      </c>
      <c r="F7" s="27" t="s">
        <v>159</v>
      </c>
      <c r="G7" s="30" t="s">
        <v>14</v>
      </c>
      <c r="H7" s="27">
        <v>2.4700000000000002</v>
      </c>
      <c r="I7" s="114">
        <f>'Crypto Ledger Wallet'!$H7</f>
        <v>2.4700000000000002</v>
      </c>
    </row>
    <row r="8" spans="1:9" x14ac:dyDescent="0.35">
      <c r="A8" t="s">
        <v>68</v>
      </c>
      <c r="B8" s="2" t="s">
        <v>160</v>
      </c>
      <c r="C8" s="12">
        <v>26342.98</v>
      </c>
      <c r="D8" s="112">
        <f>'Crypto Ledger Wallet'!$C8*'Crypto Market Price Data'!$C$21</f>
        <v>176.83752701219998</v>
      </c>
      <c r="G8" s="2"/>
      <c r="H8" s="16" t="s">
        <v>161</v>
      </c>
      <c r="I8" s="37">
        <f>SUM('Crypto Ledger Wallet'!$I$6:$I$7)</f>
        <v>220.46</v>
      </c>
    </row>
    <row r="9" spans="1:9" x14ac:dyDescent="0.35">
      <c r="A9" t="s">
        <v>162</v>
      </c>
      <c r="B9" s="2" t="s">
        <v>163</v>
      </c>
      <c r="C9">
        <v>5.6058410000000003E-2</v>
      </c>
      <c r="D9" s="112">
        <f>'Crypto Ledger Wallet'!$C9*'Crypto Market Price Data'!$C$7</f>
        <v>45.671907795200006</v>
      </c>
      <c r="G9" s="2"/>
      <c r="H9" s="16"/>
      <c r="I9" s="11"/>
    </row>
    <row r="10" spans="1:9" ht="16.75" customHeight="1" thickBot="1" x14ac:dyDescent="0.5">
      <c r="A10" t="s">
        <v>165</v>
      </c>
      <c r="B10" s="2" t="s">
        <v>14</v>
      </c>
      <c r="C10">
        <v>0</v>
      </c>
      <c r="D10" s="112">
        <f>'Crypto Ledger Wallet'!$C10*'Crypto Market Price Data'!$C$5</f>
        <v>0</v>
      </c>
      <c r="F10" s="1" t="s">
        <v>164</v>
      </c>
      <c r="I10" s="2" t="s">
        <v>1241</v>
      </c>
    </row>
    <row r="11" spans="1:9" ht="14.4" customHeight="1" thickBot="1" x14ac:dyDescent="0.4">
      <c r="A11" t="s">
        <v>169</v>
      </c>
      <c r="B11" s="2" t="s">
        <v>17</v>
      </c>
      <c r="C11">
        <v>153.48599999999999</v>
      </c>
      <c r="D11" s="112">
        <f>'Crypto Ledger Wallet'!$C11*'Crypto Market Price Data'!$C$13</f>
        <v>38.275878221999996</v>
      </c>
      <c r="F11" s="85" t="s">
        <v>166</v>
      </c>
      <c r="G11" s="86" t="s">
        <v>23</v>
      </c>
      <c r="H11" s="86" t="s">
        <v>154</v>
      </c>
      <c r="I11" s="86" t="s">
        <v>119</v>
      </c>
    </row>
    <row r="12" spans="1:9" x14ac:dyDescent="0.35">
      <c r="A12" t="s">
        <v>170</v>
      </c>
      <c r="B12" s="2" t="s">
        <v>171</v>
      </c>
      <c r="C12">
        <v>0</v>
      </c>
      <c r="D12" s="112">
        <f>'Crypto Ledger Wallet'!$C12*'Crypto Market Price Data'!$C$23</f>
        <v>0</v>
      </c>
      <c r="F12" s="109" t="s">
        <v>167</v>
      </c>
      <c r="G12" s="131" t="s">
        <v>61</v>
      </c>
      <c r="H12" s="109">
        <v>162.9</v>
      </c>
      <c r="I12" s="111">
        <f>H12*0.0005</f>
        <v>8.1450000000000009E-2</v>
      </c>
    </row>
    <row r="13" spans="1:9" ht="15" thickBot="1" x14ac:dyDescent="0.4">
      <c r="A13" t="s">
        <v>172</v>
      </c>
      <c r="B13" s="2" t="s">
        <v>14</v>
      </c>
      <c r="C13">
        <v>2.9999999999999997E-4</v>
      </c>
      <c r="D13" s="112">
        <f>'Crypto Ledger Wallet'!$C13*'Crypto Market Price Data'!$C$5</f>
        <v>25.498499999999996</v>
      </c>
      <c r="F13" s="27" t="s">
        <v>168</v>
      </c>
      <c r="G13" s="30" t="s">
        <v>61</v>
      </c>
      <c r="H13" s="27">
        <v>262.60000000000002</v>
      </c>
      <c r="I13" s="91">
        <f>H13*0.0005</f>
        <v>0.13130000000000003</v>
      </c>
    </row>
    <row r="14" spans="1:9" x14ac:dyDescent="0.35">
      <c r="A14" t="s">
        <v>174</v>
      </c>
      <c r="B14" s="2" t="s">
        <v>175</v>
      </c>
      <c r="C14">
        <v>280.20999999999998</v>
      </c>
      <c r="D14" s="112">
        <f>'Crypto Ledger Wallet'!$C14*'Crypto Market Price Data'!$C$12</f>
        <v>28.006989499999996</v>
      </c>
      <c r="G14" s="2"/>
      <c r="H14" s="16" t="s">
        <v>161</v>
      </c>
      <c r="I14" s="34">
        <f>SUM('Crypto Ledger Wallet'!$I$12:$I$13)</f>
        <v>0.21275000000000005</v>
      </c>
    </row>
    <row r="15" spans="1:9" ht="15" thickBot="1" x14ac:dyDescent="0.4">
      <c r="A15" s="27" t="s">
        <v>177</v>
      </c>
      <c r="B15" s="30" t="s">
        <v>14</v>
      </c>
      <c r="C15" s="27">
        <v>0</v>
      </c>
      <c r="D15" s="114">
        <f>'Crypto Ledger Wallet'!$C15*'Crypto Market Price Data'!$C$5</f>
        <v>0</v>
      </c>
      <c r="G15" s="2"/>
      <c r="H15" s="16"/>
      <c r="I15" s="34"/>
    </row>
    <row r="16" spans="1:9" ht="19" thickBot="1" x14ac:dyDescent="0.5">
      <c r="C16" s="16" t="s">
        <v>161</v>
      </c>
      <c r="D16" s="11">
        <f>SUM('Crypto Ledger Wallet'!$D$6:$D$15)</f>
        <v>934.9890649294</v>
      </c>
      <c r="F16" s="1" t="s">
        <v>173</v>
      </c>
      <c r="G16" s="2"/>
      <c r="I16" s="2" t="s">
        <v>1241</v>
      </c>
    </row>
    <row r="17" spans="1:9" ht="15" thickBot="1" x14ac:dyDescent="0.4">
      <c r="C17" s="16"/>
      <c r="D17" s="11"/>
      <c r="F17" s="85" t="s">
        <v>176</v>
      </c>
      <c r="G17" s="86" t="s">
        <v>23</v>
      </c>
      <c r="H17" s="86" t="s">
        <v>154</v>
      </c>
      <c r="I17" s="86" t="s">
        <v>119</v>
      </c>
    </row>
    <row r="18" spans="1:9" ht="19" thickBot="1" x14ac:dyDescent="0.5">
      <c r="A18" s="1" t="s">
        <v>180</v>
      </c>
      <c r="D18" s="2" t="s">
        <v>1241</v>
      </c>
      <c r="F18" s="109" t="s">
        <v>5</v>
      </c>
      <c r="G18" s="131"/>
      <c r="H18" s="109"/>
      <c r="I18" s="139"/>
    </row>
    <row r="19" spans="1:9" ht="15" thickBot="1" x14ac:dyDescent="0.4">
      <c r="A19" s="85" t="s">
        <v>182</v>
      </c>
      <c r="B19" s="86" t="s">
        <v>23</v>
      </c>
      <c r="C19" s="86" t="s">
        <v>154</v>
      </c>
      <c r="D19" s="86" t="s">
        <v>119</v>
      </c>
      <c r="F19" t="s">
        <v>178</v>
      </c>
      <c r="G19" s="2" t="s">
        <v>14</v>
      </c>
      <c r="H19">
        <v>1.1225199999999999E-3</v>
      </c>
      <c r="I19" s="112">
        <f>'Crypto Ledger Wallet'!$H19*'Crypto Market Price Data'!$C$5</f>
        <v>95.408587399999988</v>
      </c>
    </row>
    <row r="20" spans="1:9" x14ac:dyDescent="0.35">
      <c r="A20" s="109" t="s">
        <v>184</v>
      </c>
      <c r="B20" s="109"/>
      <c r="C20" s="109"/>
      <c r="D20" s="111"/>
      <c r="F20" t="s">
        <v>179</v>
      </c>
      <c r="G20" s="2" t="s">
        <v>14</v>
      </c>
      <c r="H20">
        <v>0</v>
      </c>
      <c r="I20" s="112">
        <f>'Crypto Ledger Wallet'!$H20*'Crypto Market Price Data'!$C$5</f>
        <v>0</v>
      </c>
    </row>
    <row r="21" spans="1:9" x14ac:dyDescent="0.35">
      <c r="A21" t="s">
        <v>67</v>
      </c>
      <c r="B21" s="2" t="s">
        <v>158</v>
      </c>
      <c r="C21">
        <v>1E-3</v>
      </c>
      <c r="D21" s="112">
        <f>'Crypto Ledger Wallet'!$C21*'Crypto Market Price Data'!$C$6</f>
        <v>2.7405900000000001</v>
      </c>
      <c r="F21" t="s">
        <v>181</v>
      </c>
      <c r="G21" s="2" t="s">
        <v>50</v>
      </c>
      <c r="H21">
        <v>6.13</v>
      </c>
      <c r="I21" s="140">
        <f>'Crypto Ledger Wallet'!$H21</f>
        <v>6.13</v>
      </c>
    </row>
    <row r="22" spans="1:9" x14ac:dyDescent="0.35">
      <c r="A22" t="s">
        <v>185</v>
      </c>
      <c r="B22" s="2"/>
      <c r="D22" s="112"/>
      <c r="F22" t="s">
        <v>1056</v>
      </c>
      <c r="G22" s="2" t="s">
        <v>61</v>
      </c>
      <c r="H22" s="28">
        <v>4081</v>
      </c>
      <c r="I22" s="140">
        <f>'Crypto Ledger Wallet'!$H22/100</f>
        <v>40.81</v>
      </c>
    </row>
    <row r="23" spans="1:9" ht="15" thickBot="1" x14ac:dyDescent="0.4">
      <c r="A23" t="s">
        <v>1240</v>
      </c>
      <c r="B23" s="2"/>
      <c r="D23" s="112"/>
      <c r="F23" s="27" t="s">
        <v>183</v>
      </c>
      <c r="G23" s="30" t="s">
        <v>50</v>
      </c>
      <c r="H23" s="27">
        <v>46.38</v>
      </c>
      <c r="I23" s="141">
        <f>'Crypto Ledger Wallet'!$H23</f>
        <v>46.38</v>
      </c>
    </row>
    <row r="24" spans="1:9" x14ac:dyDescent="0.35">
      <c r="A24" t="s">
        <v>187</v>
      </c>
      <c r="B24" s="2" t="s">
        <v>158</v>
      </c>
      <c r="C24">
        <v>2.9999999999999997E-4</v>
      </c>
      <c r="D24" s="112">
        <f>'Crypto Ledger Wallet'!$C24*'Crypto Market Price Data'!$C$6</f>
        <v>0.82217699999999994</v>
      </c>
      <c r="H24" s="16"/>
      <c r="I24" s="34">
        <f>SUM('Crypto Ledger Wallet'!$I$18:$I$23)</f>
        <v>188.72858739999998</v>
      </c>
    </row>
    <row r="25" spans="1:9" x14ac:dyDescent="0.35">
      <c r="A25" t="s">
        <v>189</v>
      </c>
      <c r="B25" s="2" t="s">
        <v>158</v>
      </c>
      <c r="C25">
        <v>0</v>
      </c>
      <c r="D25" s="112">
        <f>'Crypto Ledger Wallet'!$C25*'Crypto Market Price Data'!$C$6</f>
        <v>0</v>
      </c>
      <c r="H25" s="16"/>
      <c r="I25" s="11"/>
    </row>
    <row r="26" spans="1:9" ht="19" thickBot="1" x14ac:dyDescent="0.5">
      <c r="A26" t="s">
        <v>191</v>
      </c>
      <c r="B26" s="2" t="s">
        <v>897</v>
      </c>
      <c r="C26">
        <v>1.9099999999999999E-2</v>
      </c>
      <c r="D26" s="112">
        <f>'Crypto Ledger Wallet'!$C26*'Crypto Market Price Data'!$C$7</f>
        <v>15.561152</v>
      </c>
      <c r="F26" s="1" t="s">
        <v>186</v>
      </c>
      <c r="H26" s="16"/>
      <c r="I26" s="2" t="s">
        <v>1241</v>
      </c>
    </row>
    <row r="27" spans="1:9" ht="15" thickBot="1" x14ac:dyDescent="0.4">
      <c r="A27" t="s">
        <v>193</v>
      </c>
      <c r="B27" s="2" t="s">
        <v>158</v>
      </c>
      <c r="C27">
        <v>4.0000000000000001E-3</v>
      </c>
      <c r="D27" s="112">
        <f>'Crypto Ledger Wallet'!$C27*'Crypto Market Price Data'!$C$6</f>
        <v>10.96236</v>
      </c>
      <c r="F27" s="85" t="s">
        <v>188</v>
      </c>
      <c r="G27" s="86" t="s">
        <v>23</v>
      </c>
      <c r="H27" s="86" t="s">
        <v>154</v>
      </c>
      <c r="I27" s="86" t="s">
        <v>119</v>
      </c>
    </row>
    <row r="28" spans="1:9" x14ac:dyDescent="0.35">
      <c r="A28" t="s">
        <v>195</v>
      </c>
      <c r="B28" s="2" t="s">
        <v>158</v>
      </c>
      <c r="C28">
        <v>5.7980000000000002E-3</v>
      </c>
      <c r="D28" s="112">
        <f>'Crypto Ledger Wallet'!$C28*'Crypto Market Price Data'!$C$6</f>
        <v>15.889940820000001</v>
      </c>
      <c r="F28" s="135" t="s">
        <v>190</v>
      </c>
      <c r="G28" s="131" t="s">
        <v>61</v>
      </c>
      <c r="H28" s="136">
        <v>31542</v>
      </c>
      <c r="I28" s="111">
        <f>(H28/30000)*25</f>
        <v>26.284999999999997</v>
      </c>
    </row>
    <row r="29" spans="1:9" x14ac:dyDescent="0.35">
      <c r="A29" t="s">
        <v>197</v>
      </c>
      <c r="B29" s="2" t="s">
        <v>158</v>
      </c>
      <c r="C29">
        <v>0</v>
      </c>
      <c r="D29" s="112">
        <f>'Crypto Ledger Wallet'!$C29*'Crypto Market Price Data'!$C$6</f>
        <v>0</v>
      </c>
      <c r="F29" s="38" t="s">
        <v>192</v>
      </c>
      <c r="G29" s="2" t="s">
        <v>50</v>
      </c>
      <c r="H29" s="33">
        <v>0.35</v>
      </c>
      <c r="I29" s="112">
        <f t="shared" ref="I29:I34" si="0">H29</f>
        <v>0.35</v>
      </c>
    </row>
    <row r="30" spans="1:9" x14ac:dyDescent="0.35">
      <c r="A30" t="s">
        <v>199</v>
      </c>
      <c r="B30" s="2" t="s">
        <v>158</v>
      </c>
      <c r="C30">
        <v>2.6909999999999998E-3</v>
      </c>
      <c r="D30" s="112">
        <f>'Crypto Ledger Wallet'!$C30*'Crypto Market Price Data'!$C$6</f>
        <v>7.3749276899999998</v>
      </c>
      <c r="F30" s="38" t="s">
        <v>194</v>
      </c>
      <c r="G30" s="2" t="s">
        <v>50</v>
      </c>
      <c r="H30" s="33">
        <v>12.1</v>
      </c>
      <c r="I30" s="112">
        <f t="shared" si="0"/>
        <v>12.1</v>
      </c>
    </row>
    <row r="31" spans="1:9" x14ac:dyDescent="0.35">
      <c r="A31" t="s">
        <v>201</v>
      </c>
      <c r="B31" s="2"/>
      <c r="D31" s="112"/>
      <c r="F31" s="38" t="s">
        <v>196</v>
      </c>
      <c r="G31" s="2" t="s">
        <v>50</v>
      </c>
      <c r="H31" s="33">
        <v>2.87</v>
      </c>
      <c r="I31" s="112">
        <f t="shared" si="0"/>
        <v>2.87</v>
      </c>
    </row>
    <row r="32" spans="1:9" x14ac:dyDescent="0.35">
      <c r="A32" t="s">
        <v>67</v>
      </c>
      <c r="B32" s="2" t="s">
        <v>18</v>
      </c>
      <c r="C32">
        <f>'Crypto Claims'!B86</f>
        <v>243.37819630000007</v>
      </c>
      <c r="D32" s="112">
        <f>'Crypto Ledger Wallet'!$C32*'Crypto Market Price Data'!$C$19</f>
        <v>242.21144122693786</v>
      </c>
      <c r="F32" s="38" t="s">
        <v>198</v>
      </c>
      <c r="G32" s="2" t="s">
        <v>50</v>
      </c>
      <c r="H32" s="33">
        <v>0</v>
      </c>
      <c r="I32" s="112">
        <f t="shared" si="0"/>
        <v>0</v>
      </c>
    </row>
    <row r="33" spans="1:9" x14ac:dyDescent="0.35">
      <c r="A33" t="s">
        <v>203</v>
      </c>
      <c r="B33" s="2" t="s">
        <v>158</v>
      </c>
      <c r="C33">
        <v>0</v>
      </c>
      <c r="D33" s="112">
        <f>'Crypto Ledger Wallet'!$C33*'Crypto Market Price Data'!$C$6</f>
        <v>0</v>
      </c>
      <c r="F33" s="38" t="s">
        <v>200</v>
      </c>
      <c r="G33" s="2" t="s">
        <v>50</v>
      </c>
      <c r="H33" s="33">
        <v>0</v>
      </c>
      <c r="I33" s="112">
        <f t="shared" si="0"/>
        <v>0</v>
      </c>
    </row>
    <row r="34" spans="1:9" ht="15" thickBot="1" x14ac:dyDescent="0.4">
      <c r="A34" t="s">
        <v>204</v>
      </c>
      <c r="B34" s="2" t="s">
        <v>171</v>
      </c>
      <c r="C34">
        <v>0</v>
      </c>
      <c r="D34" s="112">
        <f>'Crypto Ledger Wallet'!$C34*'Crypto Market Price Data'!$C$23</f>
        <v>0</v>
      </c>
      <c r="F34" s="137" t="s">
        <v>202</v>
      </c>
      <c r="G34" s="30" t="s">
        <v>50</v>
      </c>
      <c r="H34" s="138">
        <v>0</v>
      </c>
      <c r="I34" s="114">
        <f t="shared" si="0"/>
        <v>0</v>
      </c>
    </row>
    <row r="35" spans="1:9" x14ac:dyDescent="0.35">
      <c r="A35" t="s">
        <v>205</v>
      </c>
      <c r="B35" s="2" t="s">
        <v>206</v>
      </c>
      <c r="C35">
        <v>0</v>
      </c>
      <c r="D35" s="112">
        <f>'Crypto Ledger Wallet'!$C35</f>
        <v>0</v>
      </c>
      <c r="F35" s="38"/>
      <c r="H35" s="16" t="s">
        <v>161</v>
      </c>
      <c r="I35" s="34">
        <f>SUM(I28:I34)</f>
        <v>41.604999999999997</v>
      </c>
    </row>
    <row r="36" spans="1:9" ht="15" thickBot="1" x14ac:dyDescent="0.4">
      <c r="A36" s="27" t="s">
        <v>208</v>
      </c>
      <c r="B36" s="30" t="s">
        <v>14</v>
      </c>
      <c r="C36" s="27">
        <v>0</v>
      </c>
      <c r="D36" s="114">
        <f>'Crypto Ledger Wallet'!$C36*'Crypto Market Price Data'!$C$5</f>
        <v>0</v>
      </c>
      <c r="H36" s="16"/>
      <c r="I36" s="11"/>
    </row>
    <row r="37" spans="1:9" ht="19" thickBot="1" x14ac:dyDescent="0.5">
      <c r="C37" s="16" t="s">
        <v>161</v>
      </c>
      <c r="D37" s="37">
        <f>SUM('Crypto Ledger Wallet'!$D$20:$D$36)</f>
        <v>295.56258873693787</v>
      </c>
      <c r="F37" s="1" t="s">
        <v>108</v>
      </c>
      <c r="G37" s="2"/>
      <c r="I37" s="2" t="s">
        <v>1241</v>
      </c>
    </row>
    <row r="38" spans="1:9" x14ac:dyDescent="0.35">
      <c r="F38" s="85" t="s">
        <v>207</v>
      </c>
      <c r="G38" s="86" t="s">
        <v>23</v>
      </c>
      <c r="H38" s="86" t="s">
        <v>154</v>
      </c>
      <c r="I38" s="86" t="s">
        <v>119</v>
      </c>
    </row>
    <row r="39" spans="1:9" ht="19" thickBot="1" x14ac:dyDescent="0.5">
      <c r="A39" s="1" t="s">
        <v>209</v>
      </c>
      <c r="D39" s="2" t="s">
        <v>1241</v>
      </c>
      <c r="F39" t="s">
        <v>109</v>
      </c>
      <c r="G39" s="2" t="s">
        <v>61</v>
      </c>
      <c r="H39" s="24">
        <v>3982</v>
      </c>
      <c r="I39" s="8">
        <f>(H39/6500)*40</f>
        <v>24.504615384615384</v>
      </c>
    </row>
    <row r="40" spans="1:9" ht="15" thickBot="1" x14ac:dyDescent="0.4">
      <c r="A40" s="85" t="s">
        <v>210</v>
      </c>
      <c r="B40" s="86" t="s">
        <v>23</v>
      </c>
      <c r="C40" s="86" t="s">
        <v>154</v>
      </c>
      <c r="D40" s="86" t="s">
        <v>119</v>
      </c>
      <c r="F40" t="s">
        <v>110</v>
      </c>
      <c r="G40" s="2" t="s">
        <v>61</v>
      </c>
      <c r="H40" s="24">
        <v>13965</v>
      </c>
      <c r="I40" s="8">
        <f>(H40/32250)*100</f>
        <v>43.302325581395351</v>
      </c>
    </row>
    <row r="41" spans="1:9" x14ac:dyDescent="0.35">
      <c r="A41" s="109" t="s">
        <v>211</v>
      </c>
      <c r="B41" s="131" t="s">
        <v>14</v>
      </c>
      <c r="C41" s="109">
        <v>0</v>
      </c>
      <c r="D41" s="111">
        <f>'Crypto Ledger Wallet'!$C41*'Crypto Market Price Data'!$C$5</f>
        <v>0</v>
      </c>
      <c r="F41" t="s">
        <v>111</v>
      </c>
      <c r="G41" s="2" t="s">
        <v>61</v>
      </c>
      <c r="H41" s="24">
        <v>36729</v>
      </c>
      <c r="I41" s="8">
        <f>(H41/52500)*50</f>
        <v>34.979999999999997</v>
      </c>
    </row>
    <row r="42" spans="1:9" x14ac:dyDescent="0.35">
      <c r="A42" t="s">
        <v>212</v>
      </c>
      <c r="B42" s="2" t="s">
        <v>213</v>
      </c>
      <c r="C42">
        <v>0</v>
      </c>
      <c r="D42" s="112">
        <f>'Crypto Ledger Wallet'!$C42*'Crypto Market Price Data'!$C$8</f>
        <v>0</v>
      </c>
      <c r="F42" t="s">
        <v>112</v>
      </c>
      <c r="G42" s="2" t="s">
        <v>50</v>
      </c>
      <c r="H42" s="24">
        <v>32410</v>
      </c>
      <c r="I42" s="8">
        <f>H42/1000</f>
        <v>32.409999999999997</v>
      </c>
    </row>
    <row r="43" spans="1:9" x14ac:dyDescent="0.35">
      <c r="A43" t="s">
        <v>214</v>
      </c>
      <c r="B43" s="2" t="s">
        <v>213</v>
      </c>
      <c r="C43">
        <v>0</v>
      </c>
      <c r="D43" s="112">
        <f>'Crypto Ledger Wallet'!$C43*'Crypto Market Price Data'!$C$8</f>
        <v>0</v>
      </c>
      <c r="F43" t="s">
        <v>135</v>
      </c>
      <c r="G43" s="2" t="s">
        <v>61</v>
      </c>
      <c r="H43" s="24">
        <v>3749</v>
      </c>
      <c r="I43" s="8">
        <f>(H43/1000)*5</f>
        <v>18.745000000000001</v>
      </c>
    </row>
    <row r="44" spans="1:9" x14ac:dyDescent="0.35">
      <c r="A44" t="s">
        <v>215</v>
      </c>
      <c r="B44" s="2" t="s">
        <v>213</v>
      </c>
      <c r="C44">
        <v>0</v>
      </c>
      <c r="D44" s="112">
        <f>'Crypto Ledger Wallet'!$C44*'Crypto Market Price Data'!$C$8</f>
        <v>0</v>
      </c>
      <c r="F44" t="s">
        <v>137</v>
      </c>
      <c r="G44" s="2" t="s">
        <v>61</v>
      </c>
      <c r="H44" s="24">
        <v>7736</v>
      </c>
      <c r="I44" s="8">
        <f>(H44/1000)*1</f>
        <v>7.7359999999999998</v>
      </c>
    </row>
    <row r="45" spans="1:9" x14ac:dyDescent="0.35">
      <c r="A45" t="s">
        <v>124</v>
      </c>
      <c r="B45" s="2" t="s">
        <v>18</v>
      </c>
      <c r="C45">
        <v>24.65</v>
      </c>
      <c r="D45" s="112">
        <f>'Crypto Ledger Wallet'!$C45*'Crypto Market Price Data'!C19</f>
        <v>24.5318279</v>
      </c>
      <c r="F45" t="s">
        <v>113</v>
      </c>
      <c r="G45" s="2" t="s">
        <v>50</v>
      </c>
      <c r="H45" s="24">
        <v>14.3</v>
      </c>
      <c r="I45" s="8">
        <f>H45</f>
        <v>14.3</v>
      </c>
    </row>
    <row r="46" spans="1:9" ht="15" thickBot="1" x14ac:dyDescent="0.4">
      <c r="A46" s="27" t="s">
        <v>216</v>
      </c>
      <c r="B46" s="30" t="s">
        <v>217</v>
      </c>
      <c r="C46" s="27">
        <v>5</v>
      </c>
      <c r="D46" s="114">
        <f>'Crypto Ledger Wallet'!$C46</f>
        <v>5</v>
      </c>
      <c r="F46" t="s">
        <v>136</v>
      </c>
      <c r="G46" s="2" t="s">
        <v>50</v>
      </c>
      <c r="H46" s="24">
        <v>5.72</v>
      </c>
      <c r="I46" s="8">
        <f>H46</f>
        <v>5.72</v>
      </c>
    </row>
    <row r="47" spans="1:9" x14ac:dyDescent="0.35">
      <c r="C47" s="16" t="s">
        <v>161</v>
      </c>
      <c r="D47" s="37">
        <f>SUM('Crypto Ledger Wallet'!$D$41:$D$46)</f>
        <v>29.5318279</v>
      </c>
      <c r="G47" s="2"/>
      <c r="H47" s="96" t="s">
        <v>161</v>
      </c>
      <c r="I47" s="97">
        <f>SUM('Crypto Ledger Wallet'!$I$39:$I$46)</f>
        <v>181.69794096601072</v>
      </c>
    </row>
    <row r="48" spans="1:9" x14ac:dyDescent="0.35">
      <c r="H48" s="16"/>
      <c r="I48" s="11"/>
    </row>
    <row r="49" spans="1:9" ht="19" thickBot="1" x14ac:dyDescent="0.5">
      <c r="A49" s="1" t="s">
        <v>220</v>
      </c>
      <c r="B49" s="2"/>
      <c r="D49" s="2" t="s">
        <v>1241</v>
      </c>
      <c r="F49" s="1" t="s">
        <v>218</v>
      </c>
      <c r="G49" s="2"/>
      <c r="H49" s="2"/>
      <c r="I49" s="2" t="s">
        <v>1241</v>
      </c>
    </row>
    <row r="50" spans="1:9" ht="15" thickBot="1" x14ac:dyDescent="0.4">
      <c r="A50" s="85" t="s">
        <v>223</v>
      </c>
      <c r="B50" s="86" t="s">
        <v>23</v>
      </c>
      <c r="C50" s="86" t="s">
        <v>154</v>
      </c>
      <c r="D50" s="86" t="s">
        <v>119</v>
      </c>
      <c r="F50" s="85" t="s">
        <v>219</v>
      </c>
      <c r="G50" s="86" t="s">
        <v>23</v>
      </c>
      <c r="H50" s="86" t="s">
        <v>154</v>
      </c>
      <c r="I50" s="86" t="s">
        <v>119</v>
      </c>
    </row>
    <row r="51" spans="1:9" x14ac:dyDescent="0.35">
      <c r="A51" s="109" t="s">
        <v>2</v>
      </c>
      <c r="B51" s="131"/>
      <c r="C51" s="109"/>
      <c r="D51" s="111"/>
      <c r="F51" s="109" t="s">
        <v>221</v>
      </c>
      <c r="G51" s="131" t="s">
        <v>222</v>
      </c>
      <c r="H51" s="134">
        <v>19138</v>
      </c>
      <c r="I51" s="111">
        <v>0</v>
      </c>
    </row>
    <row r="52" spans="1:9" x14ac:dyDescent="0.35">
      <c r="A52" t="s">
        <v>228</v>
      </c>
      <c r="B52" s="2" t="s">
        <v>20</v>
      </c>
      <c r="C52" s="24">
        <v>34</v>
      </c>
      <c r="D52" s="112">
        <f>'Crypto Ledger Wallet'!$C52*'Crypto Market Price Data'!$C$34</f>
        <v>25.338092</v>
      </c>
      <c r="F52" t="s">
        <v>224</v>
      </c>
      <c r="G52" s="2" t="s">
        <v>225</v>
      </c>
      <c r="H52" s="12">
        <v>7501</v>
      </c>
      <c r="I52" s="112">
        <v>0</v>
      </c>
    </row>
    <row r="53" spans="1:9" x14ac:dyDescent="0.35">
      <c r="A53" t="s">
        <v>231</v>
      </c>
      <c r="B53" s="2"/>
      <c r="D53" s="112"/>
      <c r="F53" t="s">
        <v>226</v>
      </c>
      <c r="G53" s="2" t="s">
        <v>227</v>
      </c>
      <c r="H53" s="12">
        <v>1522.67</v>
      </c>
      <c r="I53" s="112">
        <f>'Crypto Ledger Wallet'!$H53*'Crypto Market Price Data'!$C$31</f>
        <v>917.15438911000001</v>
      </c>
    </row>
    <row r="54" spans="1:9" x14ac:dyDescent="0.35">
      <c r="A54" t="s">
        <v>67</v>
      </c>
      <c r="B54" s="2" t="s">
        <v>213</v>
      </c>
      <c r="C54">
        <v>0</v>
      </c>
      <c r="D54" s="112">
        <f>'Crypto Ledger Wallet'!$C54*'Crypto Market Price Data'!$C$8</f>
        <v>0</v>
      </c>
      <c r="F54" t="s">
        <v>229</v>
      </c>
      <c r="G54" s="2" t="s">
        <v>230</v>
      </c>
      <c r="H54">
        <v>108.5</v>
      </c>
      <c r="I54" s="112">
        <f>'Crypto Ledger Wallet'!$H54*0.05</f>
        <v>5.4250000000000007</v>
      </c>
    </row>
    <row r="55" spans="1:9" x14ac:dyDescent="0.35">
      <c r="A55" t="s">
        <v>4</v>
      </c>
      <c r="B55" s="2"/>
      <c r="D55" s="112"/>
      <c r="F55" t="s">
        <v>232</v>
      </c>
      <c r="G55" s="2" t="s">
        <v>233</v>
      </c>
      <c r="H55">
        <v>69945.36</v>
      </c>
      <c r="I55" s="112">
        <f>(('Crypto Ledger Wallet'!$H55/1000)*133.6)*'Crypto Market Price Data'!$C$30</f>
        <v>44.366393327784955</v>
      </c>
    </row>
    <row r="56" spans="1:9" x14ac:dyDescent="0.35">
      <c r="A56" t="s">
        <v>67</v>
      </c>
      <c r="B56" s="2" t="s">
        <v>14</v>
      </c>
      <c r="C56">
        <v>2.2515E-3</v>
      </c>
      <c r="D56" s="112">
        <f>'Crypto Ledger Wallet'!$C56*'Crypto Market Price Data'!$C$5</f>
        <v>191.3662425</v>
      </c>
      <c r="F56" t="s">
        <v>234</v>
      </c>
      <c r="G56" s="2" t="s">
        <v>235</v>
      </c>
      <c r="H56">
        <v>300.20339999999999</v>
      </c>
      <c r="I56" s="112">
        <v>0</v>
      </c>
    </row>
    <row r="57" spans="1:9" x14ac:dyDescent="0.35">
      <c r="A57" t="s">
        <v>3</v>
      </c>
      <c r="B57" s="2"/>
      <c r="D57" s="112"/>
      <c r="F57" t="s">
        <v>236</v>
      </c>
      <c r="G57" s="2" t="s">
        <v>237</v>
      </c>
      <c r="H57" s="12">
        <v>2301</v>
      </c>
      <c r="I57" s="112">
        <v>0</v>
      </c>
    </row>
    <row r="58" spans="1:9" x14ac:dyDescent="0.35">
      <c r="A58" t="s">
        <v>67</v>
      </c>
      <c r="B58" s="2" t="s">
        <v>50</v>
      </c>
      <c r="C58">
        <v>6.2939999999999996</v>
      </c>
      <c r="D58" s="112">
        <f>'Crypto Ledger Wallet'!$C58</f>
        <v>6.2939999999999996</v>
      </c>
      <c r="F58" t="s">
        <v>238</v>
      </c>
      <c r="G58" s="2" t="s">
        <v>239</v>
      </c>
      <c r="H58">
        <v>84.48</v>
      </c>
      <c r="I58" s="112">
        <f>'Crypto Ledger Wallet'!$H58*'Crypto Market Price Data'!$C$33</f>
        <v>8.8704000000000005E-3</v>
      </c>
    </row>
    <row r="59" spans="1:9" ht="15" thickBot="1" x14ac:dyDescent="0.4">
      <c r="A59" t="s">
        <v>1099</v>
      </c>
      <c r="B59" s="2" t="s">
        <v>50</v>
      </c>
      <c r="C59">
        <v>0.23</v>
      </c>
      <c r="D59" s="112">
        <f>'Crypto Ledger Wallet'!$C59</f>
        <v>0.23</v>
      </c>
      <c r="F59" t="s">
        <v>240</v>
      </c>
      <c r="G59" s="2" t="s">
        <v>241</v>
      </c>
      <c r="H59">
        <v>3.6519600000000001E-3</v>
      </c>
      <c r="I59" s="112">
        <v>0</v>
      </c>
    </row>
    <row r="60" spans="1:9" ht="15" thickBot="1" x14ac:dyDescent="0.4">
      <c r="A60" s="63"/>
      <c r="B60" s="146"/>
      <c r="C60" s="147" t="s">
        <v>161</v>
      </c>
      <c r="D60" s="148">
        <f>SUM('Crypto Ledger Wallet'!$D$51:$D$59)</f>
        <v>223.22833449999999</v>
      </c>
      <c r="F60" s="27" t="s">
        <v>242</v>
      </c>
      <c r="G60" s="30" t="s">
        <v>243</v>
      </c>
      <c r="H60" s="27">
        <v>1.29</v>
      </c>
      <c r="I60" s="114">
        <v>0</v>
      </c>
    </row>
    <row r="61" spans="1:9" x14ac:dyDescent="0.35">
      <c r="B61" s="2"/>
      <c r="G61" s="2"/>
      <c r="H61" s="16" t="s">
        <v>161</v>
      </c>
      <c r="I61" s="37">
        <f>SUM('Crypto Ledger Wallet'!$I$51:$I$60)</f>
        <v>966.95465283778492</v>
      </c>
    </row>
    <row r="62" spans="1:9" ht="19" thickBot="1" x14ac:dyDescent="0.5">
      <c r="A62" s="1" t="s">
        <v>245</v>
      </c>
      <c r="B62" s="2"/>
      <c r="C62" s="2" t="s">
        <v>246</v>
      </c>
      <c r="D62" s="21">
        <v>45286</v>
      </c>
    </row>
    <row r="63" spans="1:9" ht="19" thickBot="1" x14ac:dyDescent="0.5">
      <c r="A63" s="85" t="s">
        <v>248</v>
      </c>
      <c r="B63" s="86" t="s">
        <v>23</v>
      </c>
      <c r="C63" s="86" t="s">
        <v>154</v>
      </c>
      <c r="D63" s="86" t="s">
        <v>119</v>
      </c>
      <c r="F63" s="1" t="s">
        <v>244</v>
      </c>
      <c r="G63" s="2"/>
      <c r="H63" s="2"/>
      <c r="I63" s="2" t="s">
        <v>1241</v>
      </c>
    </row>
    <row r="64" spans="1:9" ht="15" thickBot="1" x14ac:dyDescent="0.4">
      <c r="A64" s="109" t="s">
        <v>250</v>
      </c>
      <c r="B64" s="131"/>
      <c r="C64" s="109"/>
      <c r="D64" s="111"/>
      <c r="F64" s="85" t="s">
        <v>247</v>
      </c>
      <c r="G64" s="86" t="s">
        <v>23</v>
      </c>
      <c r="H64" s="86" t="s">
        <v>154</v>
      </c>
      <c r="I64" s="86" t="s">
        <v>119</v>
      </c>
    </row>
    <row r="65" spans="1:9" x14ac:dyDescent="0.35">
      <c r="A65" t="s">
        <v>67</v>
      </c>
      <c r="B65" s="2" t="s">
        <v>160</v>
      </c>
      <c r="C65" s="12">
        <v>5183.1670000000004</v>
      </c>
      <c r="D65" s="112">
        <f>'Crypto Ledger Wallet'!$C65*'Crypto Market Price Data'!$C$21</f>
        <v>34.794029922630003</v>
      </c>
      <c r="F65" s="109" t="s">
        <v>249</v>
      </c>
      <c r="G65" s="131" t="s">
        <v>50</v>
      </c>
      <c r="H65" s="109">
        <v>8.83</v>
      </c>
      <c r="I65" s="111">
        <f>H65</f>
        <v>8.83</v>
      </c>
    </row>
    <row r="66" spans="1:9" x14ac:dyDescent="0.35">
      <c r="A66" t="s">
        <v>68</v>
      </c>
      <c r="B66" s="2" t="s">
        <v>66</v>
      </c>
      <c r="C66" s="12">
        <v>2855.3</v>
      </c>
      <c r="D66" s="112">
        <f>'Crypto Ledger Wallet'!$C66*'Crypto Market Price Data'!$C$24</f>
        <v>3.3375601700000006</v>
      </c>
      <c r="F66" t="s">
        <v>251</v>
      </c>
      <c r="G66" s="2" t="s">
        <v>61</v>
      </c>
      <c r="H66">
        <v>12207</v>
      </c>
      <c r="I66" s="112">
        <f>H66*0.0001</f>
        <v>1.2207000000000001</v>
      </c>
    </row>
    <row r="67" spans="1:9" x14ac:dyDescent="0.35">
      <c r="A67" t="s">
        <v>254</v>
      </c>
      <c r="B67" s="2" t="s">
        <v>255</v>
      </c>
      <c r="C67">
        <v>14.365</v>
      </c>
      <c r="D67" s="112">
        <v>0</v>
      </c>
      <c r="F67" t="s">
        <v>252</v>
      </c>
      <c r="G67" s="2" t="s">
        <v>252</v>
      </c>
      <c r="H67">
        <v>37453</v>
      </c>
      <c r="I67" s="112">
        <f>(H67/25000)*5</f>
        <v>7.4905999999999997</v>
      </c>
    </row>
    <row r="68" spans="1:9" x14ac:dyDescent="0.35">
      <c r="A68" t="s">
        <v>258</v>
      </c>
      <c r="B68" s="2" t="s">
        <v>158</v>
      </c>
      <c r="C68">
        <v>2.6908399999999999E-3</v>
      </c>
      <c r="D68" s="112">
        <f>'Crypto Ledger Wallet'!$C68*'Crypto Market Price Data'!$C$6</f>
        <v>7.3744891955999998</v>
      </c>
      <c r="F68" t="s">
        <v>253</v>
      </c>
      <c r="G68" s="2" t="s">
        <v>61</v>
      </c>
      <c r="H68">
        <v>1669.68</v>
      </c>
      <c r="I68" s="112">
        <f>H68*0.05</f>
        <v>83.484000000000009</v>
      </c>
    </row>
    <row r="69" spans="1:9" x14ac:dyDescent="0.35">
      <c r="A69" t="s">
        <v>8</v>
      </c>
      <c r="B69" s="2"/>
      <c r="D69" s="112"/>
      <c r="F69" t="s">
        <v>256</v>
      </c>
      <c r="G69" s="2" t="s">
        <v>257</v>
      </c>
      <c r="H69">
        <v>4.6800000000000001E-6</v>
      </c>
      <c r="I69" s="112">
        <f>H69*'Crypto Market Price Data'!$C$5</f>
        <v>0.39777659999999998</v>
      </c>
    </row>
    <row r="70" spans="1:9" x14ac:dyDescent="0.35">
      <c r="A70" t="s">
        <v>67</v>
      </c>
      <c r="B70" s="2" t="s">
        <v>16</v>
      </c>
      <c r="C70">
        <v>11.1465</v>
      </c>
      <c r="D70" s="112">
        <f>'Crypto Ledger Wallet'!$C70*'Crypto Market Price Data'!$C$11</f>
        <v>11.1405812085</v>
      </c>
      <c r="F70" t="s">
        <v>259</v>
      </c>
      <c r="G70" s="2" t="s">
        <v>50</v>
      </c>
      <c r="H70">
        <v>2.4</v>
      </c>
      <c r="I70" s="112">
        <f>H70</f>
        <v>2.4</v>
      </c>
    </row>
    <row r="71" spans="1:9" x14ac:dyDescent="0.35">
      <c r="A71" t="s">
        <v>68</v>
      </c>
      <c r="B71" s="2" t="s">
        <v>19</v>
      </c>
      <c r="C71">
        <v>108.41</v>
      </c>
      <c r="D71" s="112">
        <f>'Crypto Ledger Wallet'!$C71*'Crypto Market Price Data'!$C$22</f>
        <v>6.07410389</v>
      </c>
      <c r="F71" t="s">
        <v>260</v>
      </c>
      <c r="G71" s="2" t="s">
        <v>261</v>
      </c>
      <c r="H71">
        <v>14.00318</v>
      </c>
      <c r="I71" s="112">
        <f>H71*'Crypto Market Price Data'!$C$33</f>
        <v>1.4703339000000002E-3</v>
      </c>
    </row>
    <row r="72" spans="1:9" x14ac:dyDescent="0.35">
      <c r="A72" t="s">
        <v>265</v>
      </c>
      <c r="B72" s="2" t="s">
        <v>50</v>
      </c>
      <c r="C72">
        <v>5.4</v>
      </c>
      <c r="D72" s="112">
        <f>'Crypto Ledger Wallet'!$C72</f>
        <v>5.4</v>
      </c>
      <c r="F72" t="s">
        <v>262</v>
      </c>
      <c r="G72" s="2" t="s">
        <v>263</v>
      </c>
      <c r="H72">
        <v>296623</v>
      </c>
      <c r="I72" s="112">
        <f>H72/100000</f>
        <v>2.9662299999999999</v>
      </c>
    </row>
    <row r="73" spans="1:9" x14ac:dyDescent="0.35">
      <c r="A73" t="s">
        <v>9</v>
      </c>
      <c r="B73" s="2"/>
      <c r="D73" s="112"/>
      <c r="F73" t="s">
        <v>264</v>
      </c>
      <c r="G73" s="2" t="s">
        <v>61</v>
      </c>
      <c r="H73">
        <v>300</v>
      </c>
      <c r="I73" s="112">
        <f>(H73/2500)*50</f>
        <v>6</v>
      </c>
    </row>
    <row r="74" spans="1:9" ht="15" thickBot="1" x14ac:dyDescent="0.4">
      <c r="A74" s="27" t="s">
        <v>67</v>
      </c>
      <c r="B74" s="30" t="s">
        <v>70</v>
      </c>
      <c r="C74" s="27"/>
      <c r="D74" s="114"/>
      <c r="F74" t="s">
        <v>266</v>
      </c>
      <c r="G74" s="2" t="s">
        <v>50</v>
      </c>
      <c r="H74">
        <v>0.63</v>
      </c>
      <c r="I74" s="112">
        <f>H74</f>
        <v>0.63</v>
      </c>
    </row>
    <row r="75" spans="1:9" x14ac:dyDescent="0.35">
      <c r="C75" s="16" t="s">
        <v>161</v>
      </c>
      <c r="D75" s="37">
        <f>SUM('Crypto Ledger Wallet'!$D$64:$D$74)</f>
        <v>68.120764386730016</v>
      </c>
      <c r="F75" t="s">
        <v>267</v>
      </c>
      <c r="G75" s="2" t="s">
        <v>61</v>
      </c>
      <c r="H75">
        <v>200</v>
      </c>
      <c r="I75" s="112">
        <f>(H75/10000)*25</f>
        <v>0.5</v>
      </c>
    </row>
    <row r="76" spans="1:9" ht="15" thickBot="1" x14ac:dyDescent="0.4">
      <c r="C76" s="16"/>
      <c r="D76" s="37"/>
      <c r="F76" s="27" t="s">
        <v>268</v>
      </c>
      <c r="G76" s="30" t="s">
        <v>61</v>
      </c>
      <c r="H76" s="27">
        <v>11062</v>
      </c>
      <c r="I76" s="114">
        <f>H76*'Crypto Market Price Data'!C35</f>
        <v>17.307383960000003</v>
      </c>
    </row>
    <row r="77" spans="1:9" x14ac:dyDescent="0.35">
      <c r="C77" s="16"/>
      <c r="D77" s="37"/>
      <c r="H77" s="16" t="s">
        <v>161</v>
      </c>
      <c r="I77" s="37">
        <f>SUM(I65:I76)</f>
        <v>131.22816089390003</v>
      </c>
    </row>
    <row r="78" spans="1:9" ht="19" thickBot="1" x14ac:dyDescent="0.5">
      <c r="A78" s="1" t="s">
        <v>898</v>
      </c>
      <c r="F78" t="s">
        <v>269</v>
      </c>
      <c r="G78" s="2" t="s">
        <v>1241</v>
      </c>
    </row>
    <row r="79" spans="1:9" ht="15" thickBot="1" x14ac:dyDescent="0.4">
      <c r="A79" s="85" t="s">
        <v>270</v>
      </c>
      <c r="B79" s="86" t="s">
        <v>271</v>
      </c>
      <c r="C79" s="86" t="s">
        <v>272</v>
      </c>
      <c r="D79" s="86" t="s">
        <v>23</v>
      </c>
      <c r="E79" s="86" t="s">
        <v>273</v>
      </c>
      <c r="F79" s="86" t="s">
        <v>274</v>
      </c>
      <c r="G79" s="86" t="s">
        <v>275</v>
      </c>
      <c r="H79" s="86" t="s">
        <v>276</v>
      </c>
      <c r="I79" s="86" t="s">
        <v>899</v>
      </c>
    </row>
    <row r="80" spans="1:9" x14ac:dyDescent="0.35">
      <c r="A80" s="87" t="s">
        <v>7</v>
      </c>
      <c r="B80" s="87"/>
      <c r="C80" s="88"/>
      <c r="D80" s="88"/>
      <c r="E80" s="87"/>
      <c r="F80" s="87"/>
      <c r="G80" s="87"/>
      <c r="H80" s="87"/>
      <c r="I80" s="87"/>
    </row>
    <row r="81" spans="1:9" x14ac:dyDescent="0.35">
      <c r="A81" t="s">
        <v>67</v>
      </c>
      <c r="B81" t="s">
        <v>277</v>
      </c>
      <c r="C81" s="21">
        <v>44037</v>
      </c>
      <c r="D81" s="2" t="s">
        <v>158</v>
      </c>
      <c r="E81" s="92">
        <v>3</v>
      </c>
      <c r="F81" s="92">
        <v>75</v>
      </c>
      <c r="G81" s="92">
        <v>0.2</v>
      </c>
      <c r="H81" s="92">
        <f>'Crypto Ledger Wallet'!$G81*'Crypto Market Price Data'!$C$6</f>
        <v>548.11800000000005</v>
      </c>
      <c r="I81" s="92" t="s">
        <v>278</v>
      </c>
    </row>
    <row r="82" spans="1:9" x14ac:dyDescent="0.35">
      <c r="A82" s="3" t="s">
        <v>68</v>
      </c>
      <c r="B82" s="3" t="s">
        <v>279</v>
      </c>
      <c r="C82" s="89" t="s">
        <v>280</v>
      </c>
      <c r="D82" s="89" t="s">
        <v>158</v>
      </c>
      <c r="E82" s="93">
        <v>0</v>
      </c>
      <c r="F82" s="94" t="s">
        <v>281</v>
      </c>
      <c r="G82" s="93">
        <v>2E-3</v>
      </c>
      <c r="H82" s="93">
        <f>'Crypto Ledger Wallet'!$G82*'Crypto Market Price Data'!$C$6</f>
        <v>5.4811800000000002</v>
      </c>
      <c r="I82" s="93">
        <f>'Crypto Ledger Wallet'!$H82</f>
        <v>5.4811800000000002</v>
      </c>
    </row>
    <row r="83" spans="1:9" x14ac:dyDescent="0.35">
      <c r="A83" t="s">
        <v>254</v>
      </c>
      <c r="B83" t="s">
        <v>282</v>
      </c>
      <c r="C83" s="2" t="s">
        <v>280</v>
      </c>
      <c r="D83" s="2" t="s">
        <v>158</v>
      </c>
      <c r="E83" s="92">
        <v>0</v>
      </c>
      <c r="F83" s="26" t="s">
        <v>281</v>
      </c>
      <c r="G83" s="92">
        <v>2E-3</v>
      </c>
      <c r="H83" s="92">
        <f>'Crypto Ledger Wallet'!$G83*'Crypto Market Price Data'!$C$6</f>
        <v>5.4811800000000002</v>
      </c>
      <c r="I83" s="92">
        <f>'Crypto Ledger Wallet'!$H83</f>
        <v>5.4811800000000002</v>
      </c>
    </row>
    <row r="84" spans="1:9" x14ac:dyDescent="0.35">
      <c r="A84" s="3" t="s">
        <v>258</v>
      </c>
      <c r="B84" s="3" t="s">
        <v>283</v>
      </c>
      <c r="C84" s="89" t="s">
        <v>280</v>
      </c>
      <c r="D84" s="89" t="s">
        <v>158</v>
      </c>
      <c r="E84" s="93">
        <v>0</v>
      </c>
      <c r="F84" s="94" t="s">
        <v>281</v>
      </c>
      <c r="G84" s="93">
        <v>3.0000000000000001E-3</v>
      </c>
      <c r="H84" s="93">
        <f>'Crypto Ledger Wallet'!$G84*'Crypto Market Price Data'!$C$6</f>
        <v>8.2217700000000011</v>
      </c>
      <c r="I84" s="93">
        <f>'Crypto Ledger Wallet'!$H84</f>
        <v>8.2217700000000011</v>
      </c>
    </row>
    <row r="85" spans="1:9" x14ac:dyDescent="0.35">
      <c r="A85" t="s">
        <v>284</v>
      </c>
      <c r="B85" t="s">
        <v>285</v>
      </c>
      <c r="C85" s="21">
        <v>44593</v>
      </c>
      <c r="D85" s="2" t="s">
        <v>158</v>
      </c>
      <c r="E85" s="92">
        <v>1</v>
      </c>
      <c r="F85" s="92">
        <v>34.840000000000003</v>
      </c>
      <c r="G85" s="92">
        <v>1.4999999999999999E-2</v>
      </c>
      <c r="H85" s="92">
        <f>'Crypto Ledger Wallet'!$G85*'Crypto Market Price Data'!$C$6</f>
        <v>41.108850000000004</v>
      </c>
      <c r="I85" s="92">
        <f>'Crypto Ledger Wallet'!$H85-'Crypto Ledger Wallet'!$F85</f>
        <v>6.2688500000000005</v>
      </c>
    </row>
    <row r="86" spans="1:9" x14ac:dyDescent="0.35">
      <c r="A86" s="3" t="s">
        <v>286</v>
      </c>
      <c r="B86" s="3" t="s">
        <v>287</v>
      </c>
      <c r="C86" s="95">
        <v>44593</v>
      </c>
      <c r="D86" s="89" t="s">
        <v>158</v>
      </c>
      <c r="E86" s="93">
        <v>1</v>
      </c>
      <c r="F86" s="93">
        <v>34.840000000000003</v>
      </c>
      <c r="G86" s="93">
        <v>1.4999999999999999E-2</v>
      </c>
      <c r="H86" s="93">
        <f>'Crypto Ledger Wallet'!$G86*'Crypto Market Price Data'!$C$6</f>
        <v>41.108850000000004</v>
      </c>
      <c r="I86" s="93">
        <f>'Crypto Ledger Wallet'!$H86-'Crypto Ledger Wallet'!$F86</f>
        <v>6.2688500000000005</v>
      </c>
    </row>
    <row r="87" spans="1:9" x14ac:dyDescent="0.35">
      <c r="A87" t="s">
        <v>288</v>
      </c>
      <c r="B87" t="s">
        <v>289</v>
      </c>
      <c r="C87" s="21">
        <v>44594</v>
      </c>
      <c r="D87" s="2" t="s">
        <v>158</v>
      </c>
      <c r="E87" s="92">
        <v>1</v>
      </c>
      <c r="F87" s="92">
        <v>40.200000000000003</v>
      </c>
      <c r="G87" s="92">
        <v>0.02</v>
      </c>
      <c r="H87" s="92">
        <f>'Crypto Ledger Wallet'!$G87*'Crypto Market Price Data'!$C$6</f>
        <v>54.811800000000005</v>
      </c>
      <c r="I87" s="92">
        <f>'Crypto Ledger Wallet'!$H87-'Crypto Ledger Wallet'!$F87</f>
        <v>14.611800000000002</v>
      </c>
    </row>
    <row r="88" spans="1:9" x14ac:dyDescent="0.35">
      <c r="A88" s="3" t="s">
        <v>290</v>
      </c>
      <c r="B88" s="3" t="s">
        <v>291</v>
      </c>
      <c r="C88" s="95">
        <v>44594</v>
      </c>
      <c r="D88" s="89" t="s">
        <v>158</v>
      </c>
      <c r="E88" s="93">
        <v>1</v>
      </c>
      <c r="F88" s="93">
        <v>40.200000000000003</v>
      </c>
      <c r="G88" s="93">
        <v>0.02</v>
      </c>
      <c r="H88" s="93">
        <f>'Crypto Ledger Wallet'!$G88*'Crypto Market Price Data'!$C$6</f>
        <v>54.811800000000005</v>
      </c>
      <c r="I88" s="93">
        <f>'Crypto Ledger Wallet'!$H88-'Crypto Ledger Wallet'!$F88</f>
        <v>14.611800000000002</v>
      </c>
    </row>
    <row r="89" spans="1:9" x14ac:dyDescent="0.35">
      <c r="A89" t="s">
        <v>292</v>
      </c>
      <c r="B89" t="s">
        <v>293</v>
      </c>
      <c r="C89" s="21">
        <v>44594</v>
      </c>
      <c r="D89" s="2" t="s">
        <v>158</v>
      </c>
      <c r="E89" s="92">
        <v>1</v>
      </c>
      <c r="F89" s="92">
        <v>32.159999999999997</v>
      </c>
      <c r="G89" s="92">
        <v>0.02</v>
      </c>
      <c r="H89" s="92">
        <f>'Crypto Ledger Wallet'!$G89*'Crypto Market Price Data'!$C$6</f>
        <v>54.811800000000005</v>
      </c>
      <c r="I89" s="92">
        <f>'Crypto Ledger Wallet'!$H89-'Crypto Ledger Wallet'!$F89</f>
        <v>22.651800000000009</v>
      </c>
    </row>
    <row r="90" spans="1:9" x14ac:dyDescent="0.35">
      <c r="A90" s="3" t="s">
        <v>294</v>
      </c>
      <c r="B90" s="3" t="s">
        <v>295</v>
      </c>
      <c r="C90" s="95">
        <v>44594</v>
      </c>
      <c r="D90" s="89" t="s">
        <v>158</v>
      </c>
      <c r="E90" s="93">
        <v>1</v>
      </c>
      <c r="F90" s="93">
        <v>88.44</v>
      </c>
      <c r="G90" s="93">
        <v>0.05</v>
      </c>
      <c r="H90" s="93">
        <f>'Crypto Ledger Wallet'!$G90*'Crypto Market Price Data'!$C$6</f>
        <v>137.02950000000001</v>
      </c>
      <c r="I90" s="93">
        <f>'Crypto Ledger Wallet'!$H90-'Crypto Ledger Wallet'!$F90</f>
        <v>48.589500000000015</v>
      </c>
    </row>
    <row r="91" spans="1:9" x14ac:dyDescent="0.35">
      <c r="A91" t="s">
        <v>296</v>
      </c>
      <c r="B91" t="s">
        <v>297</v>
      </c>
      <c r="C91" s="21">
        <v>44594</v>
      </c>
      <c r="D91" s="2" t="s">
        <v>158</v>
      </c>
      <c r="E91" s="92">
        <v>1</v>
      </c>
      <c r="F91" s="92">
        <v>29.48</v>
      </c>
      <c r="G91" s="92">
        <v>1.4999999999999999E-2</v>
      </c>
      <c r="H91" s="92">
        <f>'Crypto Ledger Wallet'!$G91*'Crypto Market Price Data'!$C$6</f>
        <v>41.108850000000004</v>
      </c>
      <c r="I91" s="92">
        <f>'Crypto Ledger Wallet'!$H91-'Crypto Ledger Wallet'!$F91</f>
        <v>11.628850000000003</v>
      </c>
    </row>
    <row r="92" spans="1:9" x14ac:dyDescent="0.35">
      <c r="A92" s="3" t="s">
        <v>298</v>
      </c>
      <c r="B92" s="3" t="s">
        <v>299</v>
      </c>
      <c r="C92" s="95">
        <v>44038</v>
      </c>
      <c r="D92" s="89" t="s">
        <v>158</v>
      </c>
      <c r="E92" s="93">
        <v>3</v>
      </c>
      <c r="F92" s="93">
        <v>150</v>
      </c>
      <c r="G92" s="93">
        <v>1.5</v>
      </c>
      <c r="H92" s="93">
        <f>'Crypto Ledger Wallet'!$G92*'Crypto Market Price Data'!$C$6</f>
        <v>4110.8850000000002</v>
      </c>
      <c r="I92" s="93">
        <f>'Crypto Ledger Wallet'!$H92-'Crypto Ledger Wallet'!$F92</f>
        <v>3960.8850000000002</v>
      </c>
    </row>
    <row r="93" spans="1:9" x14ac:dyDescent="0.35">
      <c r="A93" t="s">
        <v>8</v>
      </c>
      <c r="C93" s="2"/>
      <c r="D93" s="2"/>
      <c r="E93" s="92"/>
      <c r="F93" s="92"/>
      <c r="G93" s="92"/>
      <c r="H93" s="92"/>
      <c r="I93" s="92"/>
    </row>
    <row r="94" spans="1:9" x14ac:dyDescent="0.35">
      <c r="A94" s="3" t="s">
        <v>67</v>
      </c>
      <c r="B94" s="3" t="s">
        <v>300</v>
      </c>
      <c r="C94" s="95">
        <v>44643</v>
      </c>
      <c r="D94" s="89" t="s">
        <v>158</v>
      </c>
      <c r="E94" s="93">
        <v>28</v>
      </c>
      <c r="F94" s="93">
        <v>500</v>
      </c>
      <c r="G94" s="93">
        <v>0.2</v>
      </c>
      <c r="H94" s="93">
        <f>'Crypto Ledger Wallet'!$G94*'Crypto Market Price Data'!$C$6</f>
        <v>548.11800000000005</v>
      </c>
      <c r="I94" s="93">
        <f>'Crypto Ledger Wallet'!$H94-'Crypto Ledger Wallet'!$F94</f>
        <v>48.118000000000052</v>
      </c>
    </row>
    <row r="95" spans="1:9" x14ac:dyDescent="0.35">
      <c r="A95" t="s">
        <v>68</v>
      </c>
      <c r="B95" t="s">
        <v>301</v>
      </c>
      <c r="C95" s="21">
        <v>44643</v>
      </c>
      <c r="D95" s="2" t="s">
        <v>158</v>
      </c>
      <c r="E95" s="92">
        <v>12</v>
      </c>
      <c r="F95" s="92">
        <v>450</v>
      </c>
      <c r="G95" s="92">
        <v>0.15</v>
      </c>
      <c r="H95" s="92">
        <f>'Crypto Ledger Wallet'!$G95*'Crypto Market Price Data'!$C$6</f>
        <v>411.08850000000001</v>
      </c>
      <c r="I95" s="92">
        <f>'Crypto Ledger Wallet'!$H95-'Crypto Ledger Wallet'!$F95</f>
        <v>-38.91149999999999</v>
      </c>
    </row>
    <row r="96" spans="1:9" x14ac:dyDescent="0.35">
      <c r="A96" s="3" t="s">
        <v>254</v>
      </c>
      <c r="B96" s="3" t="s">
        <v>302</v>
      </c>
      <c r="C96" s="89"/>
      <c r="D96" s="89"/>
      <c r="E96" s="93"/>
      <c r="F96" s="93"/>
      <c r="G96" s="93"/>
      <c r="H96" s="93"/>
      <c r="I96" s="93"/>
    </row>
    <row r="97" spans="1:9" x14ac:dyDescent="0.35">
      <c r="A97" t="s">
        <v>303</v>
      </c>
      <c r="C97" s="2"/>
      <c r="D97" s="2"/>
      <c r="E97" s="92"/>
      <c r="F97" s="92"/>
      <c r="G97" s="92"/>
      <c r="H97" s="92"/>
      <c r="I97" s="92"/>
    </row>
    <row r="98" spans="1:9" x14ac:dyDescent="0.35">
      <c r="A98" s="3" t="s">
        <v>67</v>
      </c>
      <c r="B98" s="3" t="s">
        <v>304</v>
      </c>
      <c r="C98" s="95">
        <v>44481</v>
      </c>
      <c r="D98" s="89" t="s">
        <v>158</v>
      </c>
      <c r="E98" s="93">
        <v>60</v>
      </c>
      <c r="F98" s="93">
        <v>230</v>
      </c>
      <c r="G98" s="93">
        <v>0.1</v>
      </c>
      <c r="H98" s="93">
        <f>'Crypto Ledger Wallet'!$G98*'Crypto Market Price Data'!$C$6</f>
        <v>274.05900000000003</v>
      </c>
      <c r="I98" s="93">
        <f>'Crypto Ledger Wallet'!$H98-'Crypto Ledger Wallet'!$F98</f>
        <v>44.059000000000026</v>
      </c>
    </row>
    <row r="99" spans="1:9" x14ac:dyDescent="0.35">
      <c r="A99" t="s">
        <v>68</v>
      </c>
      <c r="B99" t="s">
        <v>305</v>
      </c>
      <c r="C99" s="21">
        <v>44699</v>
      </c>
      <c r="D99" s="2" t="s">
        <v>160</v>
      </c>
      <c r="E99" s="92">
        <v>0</v>
      </c>
      <c r="F99" s="92">
        <v>0</v>
      </c>
      <c r="G99" s="92">
        <v>249</v>
      </c>
      <c r="H99" s="8">
        <f>'Crypto Ledger Wallet'!$G99*'Crypto Market Price Data'!$C$21</f>
        <v>1.67150961</v>
      </c>
      <c r="I99" s="92">
        <f>'Crypto Ledger Wallet'!$H99-'Crypto Ledger Wallet'!$F99</f>
        <v>1.67150961</v>
      </c>
    </row>
    <row r="100" spans="1:9" x14ac:dyDescent="0.35">
      <c r="A100" s="3" t="s">
        <v>254</v>
      </c>
      <c r="B100" s="3" t="s">
        <v>306</v>
      </c>
      <c r="C100" s="95">
        <v>44722</v>
      </c>
      <c r="D100" s="89" t="s">
        <v>160</v>
      </c>
      <c r="E100" s="93">
        <v>0</v>
      </c>
      <c r="F100" s="93">
        <v>0</v>
      </c>
      <c r="G100" s="93">
        <v>140</v>
      </c>
      <c r="H100" s="90">
        <f>'Crypto Ledger Wallet'!$G100*'Crypto Market Price Data'!$C$21</f>
        <v>0.93980459999999999</v>
      </c>
      <c r="I100" s="93">
        <f>'Crypto Ledger Wallet'!$H100-'Crypto Ledger Wallet'!$F100</f>
        <v>0.93980459999999999</v>
      </c>
    </row>
    <row r="101" spans="1:9" x14ac:dyDescent="0.35">
      <c r="A101" t="s">
        <v>307</v>
      </c>
      <c r="C101" s="2"/>
      <c r="D101" s="2"/>
      <c r="E101" s="92"/>
      <c r="F101" s="92"/>
      <c r="G101" s="92"/>
      <c r="H101" s="8"/>
      <c r="I101" s="92">
        <f>'Crypto Ledger Wallet'!$H101-'Crypto Ledger Wallet'!$F101</f>
        <v>0</v>
      </c>
    </row>
    <row r="102" spans="1:9" x14ac:dyDescent="0.35">
      <c r="A102" s="3" t="s">
        <v>67</v>
      </c>
      <c r="B102" s="3" t="s">
        <v>308</v>
      </c>
      <c r="C102" s="95">
        <v>44493</v>
      </c>
      <c r="D102" s="89" t="s">
        <v>160</v>
      </c>
      <c r="E102" s="93">
        <v>30</v>
      </c>
      <c r="F102" s="93">
        <v>60</v>
      </c>
      <c r="G102" s="93">
        <v>695.87</v>
      </c>
      <c r="H102" s="90">
        <f>'Crypto Ledger Wallet'!$G102*'Crypto Market Price Data'!$C$21</f>
        <v>4.6712987643000004</v>
      </c>
      <c r="I102" s="93">
        <f>'Crypto Ledger Wallet'!$H102-'Crypto Ledger Wallet'!$F102</f>
        <v>-55.328701235700002</v>
      </c>
    </row>
    <row r="103" spans="1:9" ht="15" thickBot="1" x14ac:dyDescent="0.4">
      <c r="A103" t="s">
        <v>68</v>
      </c>
      <c r="B103" t="s">
        <v>309</v>
      </c>
      <c r="C103" s="21">
        <v>44493</v>
      </c>
      <c r="D103" s="2" t="s">
        <v>160</v>
      </c>
      <c r="E103" s="92">
        <v>30</v>
      </c>
      <c r="F103" s="92">
        <v>275</v>
      </c>
      <c r="G103" s="92">
        <v>3251</v>
      </c>
      <c r="H103" s="8">
        <f>'Crypto Ledger Wallet'!$G103*'Crypto Market Price Data'!$C$21</f>
        <v>21.823605390000001</v>
      </c>
      <c r="I103" s="92">
        <f>'Crypto Ledger Wallet'!$H103-'Crypto Ledger Wallet'!$F103</f>
        <v>-253.17639460999999</v>
      </c>
    </row>
    <row r="104" spans="1:9" ht="15" thickBot="1" x14ac:dyDescent="0.4">
      <c r="A104" s="158" t="s">
        <v>310</v>
      </c>
      <c r="B104" s="63"/>
      <c r="C104" s="63"/>
      <c r="D104" s="147" t="s">
        <v>161</v>
      </c>
      <c r="E104" s="148">
        <f>SUM('Crypto Ledger Wallet'!$E$80:$E$103)</f>
        <v>173</v>
      </c>
      <c r="F104" s="148">
        <f>SUM('Crypto Ledger Wallet'!$F$80:$F$103)</f>
        <v>2040.16</v>
      </c>
      <c r="G104" s="148"/>
      <c r="H104" s="148">
        <f>SUM('Crypto Ledger Wallet'!$H$80:$H$103)</f>
        <v>6365.3502983643002</v>
      </c>
      <c r="I104" s="148">
        <f>SUM('Crypto Ledger Wallet'!$I$80:$I$103)</f>
        <v>3852.0722983643009</v>
      </c>
    </row>
    <row r="105" spans="1:9" ht="19" thickBot="1" x14ac:dyDescent="0.5">
      <c r="A105" s="1" t="s">
        <v>1443</v>
      </c>
      <c r="D105" s="16"/>
      <c r="E105" s="11"/>
      <c r="F105" s="11"/>
      <c r="G105" s="11"/>
      <c r="H105" s="11"/>
      <c r="I105" s="11"/>
    </row>
    <row r="106" spans="1:9" ht="15" thickBot="1" x14ac:dyDescent="0.4">
      <c r="A106" s="39" t="s">
        <v>151</v>
      </c>
      <c r="B106" s="66">
        <f>$D$16</f>
        <v>934.9890649294</v>
      </c>
      <c r="C106" s="40" t="s">
        <v>311</v>
      </c>
    </row>
    <row r="107" spans="1:9" x14ac:dyDescent="0.35">
      <c r="A107" s="41" t="s">
        <v>180</v>
      </c>
      <c r="B107" s="42">
        <f>D37</f>
        <v>295.56258873693787</v>
      </c>
      <c r="C107" s="45">
        <f>H104</f>
        <v>6365.3502983643002</v>
      </c>
    </row>
    <row r="108" spans="1:9" ht="15" thickBot="1" x14ac:dyDescent="0.4">
      <c r="A108" s="41" t="s">
        <v>140</v>
      </c>
      <c r="B108" s="42">
        <f>D47</f>
        <v>29.5318279</v>
      </c>
      <c r="C108" s="40" t="s">
        <v>1438</v>
      </c>
    </row>
    <row r="109" spans="1:9" x14ac:dyDescent="0.35">
      <c r="A109" s="41" t="s">
        <v>313</v>
      </c>
      <c r="B109" s="42">
        <f>I61</f>
        <v>966.95465283778492</v>
      </c>
      <c r="C109" s="34">
        <f>I104</f>
        <v>3852.0722983643009</v>
      </c>
      <c r="D109" s="4"/>
    </row>
    <row r="110" spans="1:9" ht="15" thickBot="1" x14ac:dyDescent="0.4">
      <c r="A110" s="41" t="s">
        <v>220</v>
      </c>
      <c r="B110" s="42">
        <f>D60</f>
        <v>223.22833449999999</v>
      </c>
      <c r="C110" s="40" t="s">
        <v>312</v>
      </c>
    </row>
    <row r="111" spans="1:9" x14ac:dyDescent="0.35">
      <c r="A111" s="41" t="s">
        <v>245</v>
      </c>
      <c r="B111" s="42">
        <f>D75</f>
        <v>68.120764386730016</v>
      </c>
      <c r="C111" s="37" cm="1">
        <f t="array" ref="C111">Table34[Total Passive Earnings ($/Day)]</f>
        <v>3.7860646445205126</v>
      </c>
    </row>
    <row r="112" spans="1:9" ht="15" thickBot="1" x14ac:dyDescent="0.4">
      <c r="A112" s="41" t="s">
        <v>152</v>
      </c>
      <c r="B112" s="42">
        <f>I8</f>
        <v>220.46</v>
      </c>
      <c r="C112" s="40" t="s">
        <v>314</v>
      </c>
      <c r="D112" s="4"/>
    </row>
    <row r="113" spans="1:4" x14ac:dyDescent="0.35">
      <c r="A113" s="41" t="s">
        <v>315</v>
      </c>
      <c r="B113" s="42">
        <f>I24</f>
        <v>188.72858739999998</v>
      </c>
      <c r="C113" s="37" cm="1">
        <f t="array" ref="C113">Table34[Total Passive Earnings ($/Week)]</f>
        <v>25.869213111622514</v>
      </c>
    </row>
    <row r="114" spans="1:4" ht="15" thickBot="1" x14ac:dyDescent="0.4">
      <c r="A114" s="41" t="s">
        <v>316</v>
      </c>
      <c r="B114" s="42">
        <f>I35</f>
        <v>41.604999999999997</v>
      </c>
      <c r="C114" s="40" t="s">
        <v>314</v>
      </c>
    </row>
    <row r="115" spans="1:4" x14ac:dyDescent="0.35">
      <c r="A115" s="41" t="s">
        <v>318</v>
      </c>
      <c r="B115" s="42">
        <f>I47</f>
        <v>181.69794096601072</v>
      </c>
      <c r="C115" s="37" cm="1">
        <f t="array" ref="C115">Table34[Total Passive Earnings ($/Month)]</f>
        <v>111.15452163553459</v>
      </c>
      <c r="D115" s="4"/>
    </row>
    <row r="116" spans="1:4" ht="15" thickBot="1" x14ac:dyDescent="0.4">
      <c r="A116" s="41" t="s">
        <v>218</v>
      </c>
      <c r="B116" s="42">
        <f>I61</f>
        <v>966.95465283778492</v>
      </c>
      <c r="C116" s="40" t="s">
        <v>317</v>
      </c>
    </row>
    <row r="117" spans="1:4" ht="15" thickBot="1" x14ac:dyDescent="0.4">
      <c r="A117" s="43" t="s">
        <v>319</v>
      </c>
      <c r="B117" s="44">
        <f>I77</f>
        <v>131.22816089390003</v>
      </c>
      <c r="C117" s="37" cm="1">
        <f t="array" ref="C117">Table34[Total Passive Earnings ($/Year)]</f>
        <v>1328.7551050262252</v>
      </c>
    </row>
    <row r="118" spans="1:4" x14ac:dyDescent="0.35">
      <c r="A118" s="16" t="s">
        <v>161</v>
      </c>
      <c r="B118" s="11">
        <f>SUM(B106:B117)</f>
        <v>4249.0615753885486</v>
      </c>
      <c r="C118" s="4"/>
      <c r="D118" s="4"/>
    </row>
    <row r="120" spans="1:4" ht="15" thickBot="1" x14ac:dyDescent="0.4">
      <c r="A120" s="40" t="s">
        <v>320</v>
      </c>
    </row>
    <row r="121" spans="1:4" x14ac:dyDescent="0.35">
      <c r="A121" s="37">
        <f>B118+C109</f>
        <v>8101.1338737528495</v>
      </c>
      <c r="D121" s="4"/>
    </row>
    <row r="122" spans="1:4" x14ac:dyDescent="0.35">
      <c r="D122" s="4"/>
    </row>
    <row r="123" spans="1:4" x14ac:dyDescent="0.35">
      <c r="D123" s="4"/>
    </row>
    <row r="124" spans="1:4" x14ac:dyDescent="0.35">
      <c r="D124" s="4"/>
    </row>
    <row r="125" spans="1:4" x14ac:dyDescent="0.35">
      <c r="D125" s="4"/>
    </row>
  </sheetData>
  <mergeCells count="2">
    <mergeCell ref="A1:B1"/>
    <mergeCell ref="A2:B2"/>
  </mergeCells>
  <conditionalFormatting sqref="A25:A30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5057-7F55-4D52-85A3-0CB0B03F6C3F}">
  <sheetPr codeName="Sheet4">
    <tabColor theme="3"/>
  </sheetPr>
  <dimension ref="A1:BJ329"/>
  <sheetViews>
    <sheetView zoomScale="57" zoomScaleNormal="27" workbookViewId="0">
      <selection sqref="A1:D1"/>
    </sheetView>
  </sheetViews>
  <sheetFormatPr defaultRowHeight="14.5" x14ac:dyDescent="0.35"/>
  <cols>
    <col min="1" max="1" width="21.90625" bestFit="1" customWidth="1"/>
    <col min="2" max="3" width="15.54296875" bestFit="1" customWidth="1"/>
    <col min="4" max="5" width="14.6328125" bestFit="1" customWidth="1"/>
    <col min="6" max="6" width="23.81640625" bestFit="1" customWidth="1"/>
    <col min="7" max="7" width="15.54296875" bestFit="1" customWidth="1"/>
    <col min="8" max="8" width="14" bestFit="1" customWidth="1"/>
    <col min="9" max="9" width="21.26953125" bestFit="1" customWidth="1"/>
    <col min="10" max="10" width="12.90625" customWidth="1"/>
    <col min="11" max="11" width="22.54296875" bestFit="1" customWidth="1"/>
    <col min="12" max="12" width="10.453125" bestFit="1" customWidth="1"/>
    <col min="13" max="13" width="8.81640625" bestFit="1" customWidth="1"/>
    <col min="14" max="14" width="21.453125" bestFit="1" customWidth="1"/>
    <col min="15" max="15" width="8.81640625" customWidth="1"/>
    <col min="16" max="16" width="22.453125" bestFit="1" customWidth="1"/>
    <col min="17" max="17" width="10.453125" bestFit="1" customWidth="1"/>
    <col min="18" max="18" width="8.81640625" bestFit="1" customWidth="1"/>
    <col min="19" max="19" width="21.26953125" bestFit="1" customWidth="1"/>
    <col min="21" max="21" width="21.90625" bestFit="1" customWidth="1"/>
    <col min="22" max="22" width="11.54296875" bestFit="1" customWidth="1"/>
    <col min="23" max="23" width="8.81640625" bestFit="1" customWidth="1"/>
    <col min="24" max="24" width="16.54296875" bestFit="1" customWidth="1"/>
    <col min="26" max="26" width="22.54296875" bestFit="1" customWidth="1"/>
    <col min="27" max="27" width="11.54296875" bestFit="1" customWidth="1"/>
    <col min="28" max="28" width="10.453125" bestFit="1" customWidth="1"/>
    <col min="29" max="29" width="6.26953125" bestFit="1" customWidth="1"/>
    <col min="31" max="31" width="24" bestFit="1" customWidth="1"/>
    <col min="32" max="32" width="11.54296875" style="2" bestFit="1" customWidth="1"/>
    <col min="33" max="33" width="10.453125" bestFit="1" customWidth="1"/>
    <col min="34" max="34" width="19.36328125" bestFit="1" customWidth="1"/>
    <col min="36" max="36" width="24.81640625" bestFit="1" customWidth="1"/>
    <col min="37" max="37" width="11.54296875" style="2" bestFit="1" customWidth="1"/>
    <col min="38" max="38" width="8.81640625" bestFit="1" customWidth="1"/>
    <col min="39" max="39" width="13.1796875" bestFit="1" customWidth="1"/>
    <col min="41" max="41" width="22.54296875" bestFit="1" customWidth="1"/>
    <col min="42" max="42" width="10.453125" style="2" bestFit="1" customWidth="1"/>
    <col min="43" max="43" width="10.453125" bestFit="1" customWidth="1"/>
    <col min="44" max="44" width="21" bestFit="1" customWidth="1"/>
    <col min="46" max="46" width="24.81640625" bestFit="1" customWidth="1"/>
    <col min="47" max="47" width="10.453125" bestFit="1" customWidth="1"/>
    <col min="48" max="48" width="8.81640625" bestFit="1" customWidth="1"/>
    <col min="49" max="49" width="11.26953125" bestFit="1" customWidth="1"/>
    <col min="51" max="51" width="21.90625" bestFit="1" customWidth="1"/>
    <col min="52" max="52" width="10.453125" bestFit="1" customWidth="1"/>
    <col min="53" max="53" width="8.81640625" bestFit="1" customWidth="1"/>
    <col min="54" max="54" width="10.1796875" bestFit="1" customWidth="1"/>
    <col min="56" max="56" width="21.90625" style="38" bestFit="1" customWidth="1"/>
    <col min="57" max="57" width="10.453125" bestFit="1" customWidth="1"/>
    <col min="58" max="58" width="8.81640625" bestFit="1" customWidth="1"/>
    <col min="59" max="59" width="6.26953125" bestFit="1" customWidth="1"/>
  </cols>
  <sheetData>
    <row r="1" spans="1:59" ht="23.5" x14ac:dyDescent="0.55000000000000004">
      <c r="A1" s="169" t="s">
        <v>1447</v>
      </c>
      <c r="B1" s="169"/>
      <c r="C1" s="169"/>
      <c r="D1" s="169"/>
    </row>
    <row r="2" spans="1:59" ht="18.5" x14ac:dyDescent="0.45">
      <c r="A2" s="170" t="s">
        <v>321</v>
      </c>
      <c r="B2" s="170"/>
      <c r="C2" s="170"/>
      <c r="D2" s="170"/>
    </row>
    <row r="5" spans="1:59" ht="14.5" customHeight="1" x14ac:dyDescent="0.35">
      <c r="A5" s="171" t="s">
        <v>546</v>
      </c>
      <c r="B5" s="171"/>
      <c r="C5" s="171"/>
      <c r="D5" s="171"/>
      <c r="F5" s="171" t="s">
        <v>548</v>
      </c>
      <c r="G5" s="171"/>
      <c r="H5" s="171"/>
      <c r="I5" s="171"/>
      <c r="K5" s="171" t="s">
        <v>552</v>
      </c>
      <c r="L5" s="171"/>
      <c r="M5" s="171"/>
      <c r="N5" s="171"/>
      <c r="P5" s="171" t="s">
        <v>553</v>
      </c>
      <c r="Q5" s="171"/>
      <c r="R5" s="171"/>
      <c r="S5" s="171"/>
      <c r="U5" s="171" t="s">
        <v>554</v>
      </c>
      <c r="V5" s="171"/>
      <c r="W5" s="171"/>
      <c r="X5" s="171"/>
      <c r="Z5" s="171" t="s">
        <v>992</v>
      </c>
      <c r="AA5" s="171"/>
      <c r="AB5" s="171"/>
      <c r="AC5" s="171"/>
      <c r="AE5" s="171" t="s">
        <v>573</v>
      </c>
      <c r="AF5" s="171"/>
      <c r="AG5" s="171"/>
      <c r="AH5" s="171"/>
      <c r="AJ5" s="171" t="s">
        <v>574</v>
      </c>
      <c r="AK5" s="171"/>
      <c r="AL5" s="171"/>
      <c r="AM5" s="171"/>
      <c r="AO5" s="171" t="s">
        <v>991</v>
      </c>
      <c r="AP5" s="171"/>
      <c r="AQ5" s="171"/>
      <c r="AR5" s="171"/>
      <c r="AT5" s="171" t="s">
        <v>575</v>
      </c>
      <c r="AU5" s="171"/>
      <c r="AV5" s="171"/>
      <c r="AW5" s="171"/>
      <c r="AY5" s="171" t="s">
        <v>867</v>
      </c>
      <c r="AZ5" s="171"/>
      <c r="BA5" s="171"/>
      <c r="BB5" s="171"/>
      <c r="BD5" s="171" t="s">
        <v>878</v>
      </c>
      <c r="BE5" s="171"/>
      <c r="BF5" s="171"/>
      <c r="BG5" s="171"/>
    </row>
    <row r="6" spans="1:59" ht="14.5" customHeight="1" x14ac:dyDescent="0.35">
      <c r="A6" s="171"/>
      <c r="B6" s="171"/>
      <c r="C6" s="171"/>
      <c r="D6" s="171"/>
      <c r="F6" s="171"/>
      <c r="G6" s="171"/>
      <c r="H6" s="171"/>
      <c r="I6" s="171"/>
      <c r="K6" s="171"/>
      <c r="L6" s="171"/>
      <c r="M6" s="171"/>
      <c r="N6" s="171"/>
      <c r="P6" s="171"/>
      <c r="Q6" s="171"/>
      <c r="R6" s="171"/>
      <c r="S6" s="171"/>
      <c r="U6" s="171"/>
      <c r="V6" s="171"/>
      <c r="W6" s="171"/>
      <c r="X6" s="171"/>
      <c r="Z6" s="171"/>
      <c r="AA6" s="171"/>
      <c r="AB6" s="171"/>
      <c r="AC6" s="171"/>
      <c r="AE6" s="171"/>
      <c r="AF6" s="171"/>
      <c r="AG6" s="171"/>
      <c r="AH6" s="171"/>
      <c r="AJ6" s="171"/>
      <c r="AK6" s="171"/>
      <c r="AL6" s="171"/>
      <c r="AM6" s="171"/>
      <c r="AO6" s="171"/>
      <c r="AP6" s="171"/>
      <c r="AQ6" s="171"/>
      <c r="AR6" s="171"/>
      <c r="AT6" s="171"/>
      <c r="AU6" s="171"/>
      <c r="AV6" s="171"/>
      <c r="AW6" s="171"/>
      <c r="AY6" s="171"/>
      <c r="AZ6" s="171"/>
      <c r="BA6" s="171"/>
      <c r="BB6" s="171"/>
      <c r="BD6" s="171"/>
      <c r="BE6" s="171"/>
      <c r="BF6" s="171"/>
      <c r="BG6" s="171"/>
    </row>
    <row r="7" spans="1:59" x14ac:dyDescent="0.35">
      <c r="A7" s="50" t="s">
        <v>341</v>
      </c>
      <c r="B7" s="51" t="s">
        <v>340</v>
      </c>
      <c r="C7" s="51" t="s">
        <v>342</v>
      </c>
      <c r="D7" s="51" t="s">
        <v>343</v>
      </c>
      <c r="F7" s="50" t="s">
        <v>341</v>
      </c>
      <c r="G7" s="51" t="s">
        <v>340</v>
      </c>
      <c r="H7" s="53" t="s">
        <v>342</v>
      </c>
      <c r="I7" s="51" t="s">
        <v>343</v>
      </c>
      <c r="K7" s="50" t="s">
        <v>341</v>
      </c>
      <c r="L7" s="51" t="s">
        <v>340</v>
      </c>
      <c r="M7" s="53" t="s">
        <v>342</v>
      </c>
      <c r="N7" s="51" t="s">
        <v>343</v>
      </c>
      <c r="P7" s="50" t="s">
        <v>341</v>
      </c>
      <c r="Q7" s="51" t="s">
        <v>340</v>
      </c>
      <c r="R7" s="53" t="s">
        <v>342</v>
      </c>
      <c r="S7" s="51" t="s">
        <v>343</v>
      </c>
      <c r="U7" s="50" t="s">
        <v>341</v>
      </c>
      <c r="V7" s="51" t="s">
        <v>340</v>
      </c>
      <c r="W7" s="53" t="s">
        <v>342</v>
      </c>
      <c r="X7" s="51" t="s">
        <v>343</v>
      </c>
      <c r="Z7" s="52" t="s">
        <v>341</v>
      </c>
      <c r="AA7" s="53" t="s">
        <v>340</v>
      </c>
      <c r="AB7" s="53" t="s">
        <v>342</v>
      </c>
      <c r="AC7" s="53" t="s">
        <v>343</v>
      </c>
      <c r="AE7" s="52" t="s">
        <v>341</v>
      </c>
      <c r="AF7" s="53" t="s">
        <v>340</v>
      </c>
      <c r="AG7" s="53" t="s">
        <v>342</v>
      </c>
      <c r="AH7" s="53" t="s">
        <v>343</v>
      </c>
      <c r="AJ7" s="52" t="s">
        <v>341</v>
      </c>
      <c r="AK7" s="53" t="s">
        <v>340</v>
      </c>
      <c r="AL7" s="53" t="s">
        <v>342</v>
      </c>
      <c r="AM7" s="53" t="s">
        <v>343</v>
      </c>
      <c r="AO7" s="52" t="s">
        <v>341</v>
      </c>
      <c r="AP7" s="53" t="s">
        <v>340</v>
      </c>
      <c r="AQ7" s="53" t="s">
        <v>342</v>
      </c>
      <c r="AR7" s="53" t="s">
        <v>343</v>
      </c>
      <c r="AT7" s="52" t="s">
        <v>341</v>
      </c>
      <c r="AU7" s="53" t="s">
        <v>340</v>
      </c>
      <c r="AV7" s="53" t="s">
        <v>342</v>
      </c>
      <c r="AW7" s="53" t="s">
        <v>343</v>
      </c>
      <c r="AY7" s="52" t="s">
        <v>341</v>
      </c>
      <c r="AZ7" s="53" t="s">
        <v>340</v>
      </c>
      <c r="BA7" s="53" t="s">
        <v>342</v>
      </c>
      <c r="BB7" s="53" t="s">
        <v>343</v>
      </c>
      <c r="BD7" s="156" t="s">
        <v>341</v>
      </c>
      <c r="BE7" s="53" t="s">
        <v>340</v>
      </c>
      <c r="BF7" s="53" t="s">
        <v>342</v>
      </c>
      <c r="BG7" s="53" t="s">
        <v>343</v>
      </c>
    </row>
    <row r="8" spans="1:59" x14ac:dyDescent="0.35">
      <c r="A8" t="s">
        <v>344</v>
      </c>
      <c r="B8" s="21">
        <v>44715</v>
      </c>
      <c r="C8" s="48">
        <v>20</v>
      </c>
      <c r="F8" t="s">
        <v>345</v>
      </c>
      <c r="G8" s="21">
        <v>44748</v>
      </c>
      <c r="H8" s="48">
        <v>35</v>
      </c>
      <c r="I8" t="s">
        <v>346</v>
      </c>
      <c r="K8" t="s">
        <v>344</v>
      </c>
      <c r="L8" s="21">
        <v>44800</v>
      </c>
      <c r="M8" s="48">
        <v>20</v>
      </c>
      <c r="P8" t="s">
        <v>344</v>
      </c>
      <c r="Q8" s="21">
        <v>44805</v>
      </c>
      <c r="R8" s="48">
        <v>20</v>
      </c>
      <c r="U8" t="s">
        <v>581</v>
      </c>
      <c r="V8" s="21">
        <v>44835</v>
      </c>
      <c r="W8" s="48">
        <v>40</v>
      </c>
      <c r="Z8" t="s">
        <v>344</v>
      </c>
      <c r="AA8" s="21">
        <v>44866</v>
      </c>
      <c r="AB8" s="48">
        <v>40</v>
      </c>
      <c r="AE8" t="s">
        <v>344</v>
      </c>
      <c r="AF8" s="21">
        <v>44896</v>
      </c>
      <c r="AG8" s="48">
        <v>40</v>
      </c>
      <c r="AJ8" t="s">
        <v>344</v>
      </c>
      <c r="AK8" s="21">
        <v>44927</v>
      </c>
      <c r="AL8" s="48">
        <v>40</v>
      </c>
      <c r="AO8" t="s">
        <v>344</v>
      </c>
      <c r="AP8" s="21">
        <v>44958</v>
      </c>
      <c r="AQ8" s="48">
        <v>40</v>
      </c>
      <c r="AT8" t="s">
        <v>344</v>
      </c>
      <c r="AU8" s="21">
        <v>44986</v>
      </c>
      <c r="AV8" s="48">
        <v>40</v>
      </c>
      <c r="AW8" t="s">
        <v>877</v>
      </c>
      <c r="AY8" t="s">
        <v>344</v>
      </c>
      <c r="AZ8" s="21">
        <v>45017</v>
      </c>
      <c r="BA8" s="48">
        <v>40</v>
      </c>
      <c r="BB8" t="s">
        <v>877</v>
      </c>
      <c r="BE8" s="21"/>
      <c r="BF8" s="48"/>
    </row>
    <row r="9" spans="1:59" ht="15" thickBot="1" x14ac:dyDescent="0.4">
      <c r="A9" t="s">
        <v>1446</v>
      </c>
      <c r="B9" s="21">
        <v>44716</v>
      </c>
      <c r="C9" s="48">
        <v>-51.8</v>
      </c>
      <c r="F9" t="s">
        <v>347</v>
      </c>
      <c r="G9" s="21">
        <v>44750</v>
      </c>
      <c r="H9" s="49">
        <v>20</v>
      </c>
      <c r="I9" t="s">
        <v>348</v>
      </c>
      <c r="L9" s="2"/>
      <c r="M9" s="49"/>
      <c r="P9" t="s">
        <v>344</v>
      </c>
      <c r="Q9" s="21">
        <v>44806</v>
      </c>
      <c r="R9" s="49">
        <v>20</v>
      </c>
      <c r="S9" t="s">
        <v>349</v>
      </c>
      <c r="V9" s="2"/>
      <c r="W9" s="49"/>
      <c r="AA9" s="2"/>
      <c r="AB9" s="49"/>
      <c r="AG9" s="49"/>
      <c r="AL9" s="49"/>
      <c r="AO9" t="s">
        <v>583</v>
      </c>
      <c r="AP9" s="21">
        <v>44985</v>
      </c>
      <c r="AQ9" s="49">
        <v>100</v>
      </c>
      <c r="AR9" t="s">
        <v>584</v>
      </c>
      <c r="AT9" t="s">
        <v>344</v>
      </c>
      <c r="AU9" s="21">
        <v>44999</v>
      </c>
      <c r="AV9" s="48">
        <v>80</v>
      </c>
      <c r="AW9" t="s">
        <v>877</v>
      </c>
      <c r="AZ9" s="2"/>
      <c r="BA9" s="49"/>
      <c r="BE9" s="2"/>
      <c r="BF9" s="49"/>
    </row>
    <row r="10" spans="1:59" x14ac:dyDescent="0.35">
      <c r="A10" t="s">
        <v>350</v>
      </c>
      <c r="B10" s="21">
        <v>44716</v>
      </c>
      <c r="C10" s="48">
        <v>40</v>
      </c>
      <c r="G10" s="2"/>
      <c r="H10" s="4">
        <f>SUM(H8:H9)</f>
        <v>55</v>
      </c>
      <c r="L10" s="2"/>
      <c r="M10" s="4">
        <f>SUM(M8:M9)</f>
        <v>20</v>
      </c>
      <c r="Q10" s="2"/>
      <c r="R10" s="4">
        <f>SUM(R8:R9)</f>
        <v>40</v>
      </c>
      <c r="V10" s="2"/>
      <c r="W10" s="4">
        <f>SUM(W8:W9)</f>
        <v>40</v>
      </c>
      <c r="AA10" s="2"/>
      <c r="AB10" s="4">
        <f>SUM(AB8:AB9)</f>
        <v>40</v>
      </c>
      <c r="AG10" s="4">
        <f>SUM(AG8:AG9)</f>
        <v>40</v>
      </c>
      <c r="AL10" s="4">
        <f>SUM(AL8:AL9)</f>
        <v>40</v>
      </c>
      <c r="AQ10" s="4">
        <f>SUM(AQ8:AQ9)</f>
        <v>140</v>
      </c>
      <c r="AU10" s="2"/>
      <c r="AV10" s="55">
        <f>SUM(AV8:AV9)</f>
        <v>120</v>
      </c>
      <c r="AZ10" s="2"/>
      <c r="BA10" s="55">
        <f>SUM(BA8:BA9)</f>
        <v>40</v>
      </c>
      <c r="BE10" s="2"/>
      <c r="BF10" s="55">
        <f>SUM(BF8:BF9)</f>
        <v>0</v>
      </c>
    </row>
    <row r="11" spans="1:59" x14ac:dyDescent="0.35">
      <c r="A11" t="s">
        <v>344</v>
      </c>
      <c r="B11" s="21">
        <v>44717</v>
      </c>
      <c r="C11" s="48">
        <v>18</v>
      </c>
      <c r="AA11" s="2"/>
      <c r="AB11" s="4"/>
      <c r="AV11" s="48"/>
      <c r="BA11" s="48"/>
      <c r="BF11" s="48"/>
    </row>
    <row r="12" spans="1:59" x14ac:dyDescent="0.35">
      <c r="A12" t="s">
        <v>344</v>
      </c>
      <c r="B12" s="21">
        <v>44718</v>
      </c>
      <c r="C12" s="48">
        <v>20</v>
      </c>
      <c r="AA12" s="2"/>
      <c r="AB12" s="4"/>
      <c r="AV12" s="48"/>
      <c r="BA12" s="48"/>
      <c r="BF12" s="48"/>
    </row>
    <row r="13" spans="1:59" x14ac:dyDescent="0.35">
      <c r="A13" t="s">
        <v>344</v>
      </c>
      <c r="B13" s="21">
        <v>44721</v>
      </c>
      <c r="C13" s="48">
        <v>20</v>
      </c>
      <c r="F13" s="50" t="s">
        <v>547</v>
      </c>
      <c r="G13" s="51" t="s">
        <v>340</v>
      </c>
      <c r="H13" s="51" t="s">
        <v>342</v>
      </c>
      <c r="I13" s="51" t="s">
        <v>343</v>
      </c>
      <c r="K13" s="50" t="s">
        <v>547</v>
      </c>
      <c r="L13" s="51" t="s">
        <v>340</v>
      </c>
      <c r="M13" s="51" t="s">
        <v>342</v>
      </c>
      <c r="N13" s="51" t="s">
        <v>343</v>
      </c>
      <c r="P13" s="50" t="s">
        <v>547</v>
      </c>
      <c r="Q13" s="51" t="s">
        <v>340</v>
      </c>
      <c r="R13" s="51" t="s">
        <v>342</v>
      </c>
      <c r="S13" s="51" t="s">
        <v>343</v>
      </c>
      <c r="U13" s="50" t="s">
        <v>547</v>
      </c>
      <c r="V13" s="51" t="s">
        <v>340</v>
      </c>
      <c r="W13" s="51" t="s">
        <v>342</v>
      </c>
      <c r="X13" s="51" t="s">
        <v>343</v>
      </c>
      <c r="Z13" s="50" t="s">
        <v>547</v>
      </c>
      <c r="AA13" s="51" t="s">
        <v>340</v>
      </c>
      <c r="AB13" s="51" t="s">
        <v>342</v>
      </c>
      <c r="AC13" s="51" t="s">
        <v>343</v>
      </c>
      <c r="AE13" s="50" t="s">
        <v>547</v>
      </c>
      <c r="AF13" s="51" t="s">
        <v>340</v>
      </c>
      <c r="AG13" s="51" t="s">
        <v>342</v>
      </c>
      <c r="AH13" s="51" t="s">
        <v>343</v>
      </c>
      <c r="AJ13" s="50" t="s">
        <v>547</v>
      </c>
      <c r="AK13" s="51" t="s">
        <v>340</v>
      </c>
      <c r="AL13" s="51" t="s">
        <v>342</v>
      </c>
      <c r="AM13" s="51" t="s">
        <v>343</v>
      </c>
      <c r="AO13" s="50" t="s">
        <v>547</v>
      </c>
      <c r="AP13" s="51" t="s">
        <v>340</v>
      </c>
      <c r="AQ13" s="51" t="s">
        <v>342</v>
      </c>
      <c r="AR13" s="51" t="s">
        <v>343</v>
      </c>
      <c r="AT13" s="50" t="s">
        <v>547</v>
      </c>
      <c r="AU13" s="51" t="s">
        <v>340</v>
      </c>
      <c r="AV13" s="53" t="s">
        <v>342</v>
      </c>
      <c r="AW13" s="51" t="s">
        <v>343</v>
      </c>
      <c r="AY13" s="50" t="s">
        <v>547</v>
      </c>
      <c r="AZ13" s="51" t="s">
        <v>340</v>
      </c>
      <c r="BA13" s="53" t="s">
        <v>342</v>
      </c>
      <c r="BB13" s="51" t="s">
        <v>343</v>
      </c>
      <c r="BD13" s="157" t="s">
        <v>547</v>
      </c>
      <c r="BE13" s="51" t="s">
        <v>340</v>
      </c>
      <c r="BF13" s="53" t="s">
        <v>342</v>
      </c>
      <c r="BG13" s="51" t="s">
        <v>343</v>
      </c>
    </row>
    <row r="14" spans="1:59" x14ac:dyDescent="0.35">
      <c r="A14" t="s">
        <v>344</v>
      </c>
      <c r="B14" s="21">
        <v>44723</v>
      </c>
      <c r="C14" s="48">
        <v>40</v>
      </c>
      <c r="P14" t="s">
        <v>426</v>
      </c>
      <c r="Q14" s="21">
        <v>44813</v>
      </c>
      <c r="R14" s="48">
        <v>-376.2</v>
      </c>
      <c r="Z14" t="s">
        <v>508</v>
      </c>
      <c r="AA14" s="21">
        <v>44871</v>
      </c>
      <c r="AB14" s="48">
        <v>-386.2</v>
      </c>
      <c r="AV14" s="48"/>
      <c r="BA14" s="48"/>
      <c r="BF14" s="48"/>
    </row>
    <row r="15" spans="1:59" ht="15" thickBot="1" x14ac:dyDescent="0.4">
      <c r="A15" t="s">
        <v>344</v>
      </c>
      <c r="B15" s="21">
        <v>44724</v>
      </c>
      <c r="C15" s="48">
        <v>25</v>
      </c>
      <c r="G15" s="21"/>
      <c r="H15" s="49"/>
      <c r="L15" s="21"/>
      <c r="M15" s="49"/>
      <c r="Q15" s="21"/>
      <c r="R15" s="49"/>
      <c r="V15" s="21"/>
      <c r="W15" s="49"/>
      <c r="AA15" s="21"/>
      <c r="AB15" s="49"/>
      <c r="AF15" s="21"/>
      <c r="AG15" s="49"/>
      <c r="AK15" s="21"/>
      <c r="AL15" s="49"/>
      <c r="AP15" s="21"/>
      <c r="AQ15" s="49"/>
      <c r="AU15" s="21"/>
      <c r="AV15" s="49"/>
      <c r="AZ15" s="21"/>
      <c r="BA15" s="49"/>
      <c r="BE15" s="21"/>
      <c r="BF15" s="49"/>
    </row>
    <row r="16" spans="1:59" x14ac:dyDescent="0.35">
      <c r="A16" t="s">
        <v>344</v>
      </c>
      <c r="B16" s="21">
        <v>44729</v>
      </c>
      <c r="C16" s="48">
        <v>20</v>
      </c>
      <c r="G16" s="2"/>
      <c r="H16" s="48">
        <f>SUM(H14:H15)</f>
        <v>0</v>
      </c>
      <c r="L16" s="2"/>
      <c r="M16" s="48">
        <f>SUM(M14:M15)</f>
        <v>0</v>
      </c>
      <c r="Q16" s="2"/>
      <c r="R16" s="48">
        <f>SUM(R14:R15)</f>
        <v>-376.2</v>
      </c>
      <c r="V16" s="2"/>
      <c r="W16" s="48">
        <f>SUM(W14:W15)</f>
        <v>0</v>
      </c>
      <c r="AA16" s="2"/>
      <c r="AB16" s="48">
        <f>SUM(AB14:AB15)</f>
        <v>-386.2</v>
      </c>
      <c r="AG16" s="48">
        <f>SUM(AG14:AG15)</f>
        <v>0</v>
      </c>
      <c r="AL16" s="48">
        <f>SUM(AL14:AL15)</f>
        <v>0</v>
      </c>
      <c r="AQ16" s="48">
        <f>SUM(AQ14:AQ15)</f>
        <v>0</v>
      </c>
      <c r="AU16" s="2"/>
      <c r="AV16" s="55">
        <f>SUM(AV14:AV15)</f>
        <v>0</v>
      </c>
      <c r="AZ16" s="2"/>
      <c r="BA16" s="55">
        <f>SUM(BA14:BA15)</f>
        <v>0</v>
      </c>
      <c r="BE16" s="2"/>
      <c r="BF16" s="55">
        <f>SUM(BF14:BF15)</f>
        <v>0</v>
      </c>
    </row>
    <row r="17" spans="1:59" x14ac:dyDescent="0.35">
      <c r="A17" t="s">
        <v>344</v>
      </c>
      <c r="B17" s="21">
        <v>44731</v>
      </c>
      <c r="C17" s="48">
        <v>20</v>
      </c>
      <c r="AA17" s="2"/>
      <c r="AB17" s="48"/>
      <c r="AV17" s="48"/>
      <c r="BA17" s="48"/>
      <c r="BF17" s="48"/>
    </row>
    <row r="18" spans="1:59" x14ac:dyDescent="0.35">
      <c r="A18" t="s">
        <v>344</v>
      </c>
      <c r="B18" s="21">
        <v>44735</v>
      </c>
      <c r="C18" s="48">
        <v>20</v>
      </c>
      <c r="AA18" s="2"/>
      <c r="AB18" s="48"/>
      <c r="AV18" s="48"/>
      <c r="BA18" s="48"/>
      <c r="BF18" s="48"/>
    </row>
    <row r="19" spans="1:59" ht="15" thickBot="1" x14ac:dyDescent="0.4">
      <c r="A19" t="s">
        <v>344</v>
      </c>
      <c r="B19" s="21">
        <v>44737</v>
      </c>
      <c r="C19" s="49">
        <v>20</v>
      </c>
      <c r="F19" s="50" t="s">
        <v>327</v>
      </c>
      <c r="G19" s="51" t="s">
        <v>340</v>
      </c>
      <c r="H19" s="53" t="s">
        <v>342</v>
      </c>
      <c r="I19" s="51" t="s">
        <v>343</v>
      </c>
      <c r="K19" s="50" t="s">
        <v>327</v>
      </c>
      <c r="L19" s="51" t="s">
        <v>340</v>
      </c>
      <c r="M19" s="53" t="s">
        <v>342</v>
      </c>
      <c r="N19" s="51" t="s">
        <v>343</v>
      </c>
      <c r="P19" s="50" t="s">
        <v>327</v>
      </c>
      <c r="Q19" s="51" t="s">
        <v>340</v>
      </c>
      <c r="R19" s="53" t="s">
        <v>342</v>
      </c>
      <c r="S19" s="51" t="s">
        <v>343</v>
      </c>
      <c r="U19" s="50" t="s">
        <v>327</v>
      </c>
      <c r="V19" s="51" t="s">
        <v>340</v>
      </c>
      <c r="W19" s="53" t="s">
        <v>342</v>
      </c>
      <c r="X19" s="51" t="s">
        <v>343</v>
      </c>
      <c r="Z19" s="52" t="s">
        <v>327</v>
      </c>
      <c r="AA19" s="53" t="s">
        <v>340</v>
      </c>
      <c r="AB19" s="53" t="s">
        <v>342</v>
      </c>
      <c r="AC19" s="53" t="s">
        <v>343</v>
      </c>
      <c r="AE19" s="52" t="s">
        <v>327</v>
      </c>
      <c r="AF19" s="53" t="s">
        <v>340</v>
      </c>
      <c r="AG19" s="53" t="s">
        <v>342</v>
      </c>
      <c r="AH19" s="53" t="s">
        <v>343</v>
      </c>
      <c r="AJ19" s="52" t="s">
        <v>327</v>
      </c>
      <c r="AK19" s="53" t="s">
        <v>340</v>
      </c>
      <c r="AL19" s="53" t="s">
        <v>342</v>
      </c>
      <c r="AM19" s="53" t="s">
        <v>343</v>
      </c>
      <c r="AO19" s="52" t="s">
        <v>327</v>
      </c>
      <c r="AP19" s="53" t="s">
        <v>340</v>
      </c>
      <c r="AQ19" s="53" t="s">
        <v>342</v>
      </c>
      <c r="AR19" s="53" t="s">
        <v>343</v>
      </c>
      <c r="AT19" s="52" t="s">
        <v>327</v>
      </c>
      <c r="AU19" s="53" t="s">
        <v>340</v>
      </c>
      <c r="AV19" s="53" t="s">
        <v>342</v>
      </c>
      <c r="AW19" s="53" t="s">
        <v>343</v>
      </c>
      <c r="AY19" s="52" t="s">
        <v>327</v>
      </c>
      <c r="AZ19" s="53" t="s">
        <v>340</v>
      </c>
      <c r="BA19" s="53" t="s">
        <v>342</v>
      </c>
      <c r="BB19" s="53" t="s">
        <v>343</v>
      </c>
      <c r="BD19" s="156" t="s">
        <v>327</v>
      </c>
      <c r="BE19" s="53" t="s">
        <v>340</v>
      </c>
      <c r="BF19" s="53" t="s">
        <v>342</v>
      </c>
      <c r="BG19" s="53" t="s">
        <v>343</v>
      </c>
    </row>
    <row r="20" spans="1:59" x14ac:dyDescent="0.35">
      <c r="B20" s="2"/>
      <c r="C20" s="48">
        <f>SUM(C8:C19)</f>
        <v>211.2</v>
      </c>
      <c r="F20" t="s">
        <v>351</v>
      </c>
      <c r="G20" s="21">
        <v>44743</v>
      </c>
      <c r="H20" s="48">
        <v>-20.25</v>
      </c>
      <c r="K20" t="s">
        <v>351</v>
      </c>
      <c r="L20" s="21">
        <v>44774</v>
      </c>
      <c r="M20" s="48">
        <v>-20</v>
      </c>
      <c r="P20" t="s">
        <v>351</v>
      </c>
      <c r="Q20" s="21">
        <v>44811</v>
      </c>
      <c r="R20" s="48">
        <v>-20</v>
      </c>
      <c r="U20" t="s">
        <v>351</v>
      </c>
      <c r="V20" s="21">
        <v>44845</v>
      </c>
      <c r="W20" s="48">
        <v>-40</v>
      </c>
      <c r="Z20" t="s">
        <v>351</v>
      </c>
      <c r="AA20" s="21">
        <v>44866</v>
      </c>
      <c r="AB20" s="48">
        <v>-20</v>
      </c>
      <c r="AE20" t="s">
        <v>351</v>
      </c>
      <c r="AF20" s="21">
        <v>44903</v>
      </c>
      <c r="AG20" s="48">
        <v>-25.05</v>
      </c>
      <c r="AJ20" t="s">
        <v>463</v>
      </c>
      <c r="AK20" s="21">
        <v>44927</v>
      </c>
      <c r="AL20" s="48">
        <v>-32.31</v>
      </c>
      <c r="AO20" t="s">
        <v>351</v>
      </c>
      <c r="AP20" s="21">
        <v>44958</v>
      </c>
      <c r="AQ20" s="48">
        <v>-25</v>
      </c>
      <c r="AT20" t="s">
        <v>351</v>
      </c>
      <c r="AU20" s="21">
        <v>44991</v>
      </c>
      <c r="AV20" s="48">
        <v>-25.27</v>
      </c>
      <c r="AY20" t="s">
        <v>351</v>
      </c>
      <c r="AZ20" s="21">
        <v>45019</v>
      </c>
      <c r="BA20" s="48">
        <v>-20</v>
      </c>
      <c r="BD20" s="38" t="s">
        <v>351</v>
      </c>
      <c r="BE20" s="21">
        <v>45056</v>
      </c>
      <c r="BF20" s="48">
        <v>-30</v>
      </c>
    </row>
    <row r="21" spans="1:59" x14ac:dyDescent="0.35">
      <c r="F21" t="s">
        <v>351</v>
      </c>
      <c r="G21" s="21">
        <v>44750</v>
      </c>
      <c r="H21" s="48">
        <v>-20.05</v>
      </c>
      <c r="K21" t="s">
        <v>351</v>
      </c>
      <c r="L21" s="21">
        <v>44776</v>
      </c>
      <c r="M21" s="48">
        <v>-15</v>
      </c>
      <c r="P21" t="s">
        <v>351</v>
      </c>
      <c r="Q21" s="21">
        <v>44812</v>
      </c>
      <c r="R21" s="48">
        <v>-25</v>
      </c>
      <c r="U21" t="s">
        <v>351</v>
      </c>
      <c r="V21" s="21">
        <v>44852</v>
      </c>
      <c r="W21" s="48">
        <v>-40</v>
      </c>
      <c r="Z21" t="s">
        <v>351</v>
      </c>
      <c r="AA21" s="21">
        <v>44873</v>
      </c>
      <c r="AB21" s="48">
        <v>-20</v>
      </c>
      <c r="AE21" t="s">
        <v>351</v>
      </c>
      <c r="AF21" s="21">
        <v>44908</v>
      </c>
      <c r="AG21" s="48">
        <v>-20</v>
      </c>
      <c r="AJ21" t="s">
        <v>464</v>
      </c>
      <c r="AK21" s="21">
        <v>44932</v>
      </c>
      <c r="AL21" s="48">
        <v>-21.8</v>
      </c>
      <c r="AO21" t="s">
        <v>351</v>
      </c>
      <c r="AP21" s="21">
        <v>44963</v>
      </c>
      <c r="AQ21" s="48">
        <v>-25</v>
      </c>
      <c r="AT21" t="s">
        <v>351</v>
      </c>
      <c r="AU21" s="21">
        <v>44996</v>
      </c>
      <c r="AV21" s="48">
        <v>-40</v>
      </c>
      <c r="AY21" t="s">
        <v>351</v>
      </c>
      <c r="AZ21" s="21">
        <v>45023</v>
      </c>
      <c r="BA21" s="48">
        <v>-25.05</v>
      </c>
      <c r="BD21" s="38" t="s">
        <v>351</v>
      </c>
      <c r="BE21" s="21">
        <v>45061</v>
      </c>
      <c r="BF21" s="48">
        <v>-25</v>
      </c>
    </row>
    <row r="22" spans="1:59" ht="15" thickBot="1" x14ac:dyDescent="0.4">
      <c r="F22" t="s">
        <v>351</v>
      </c>
      <c r="G22" s="21">
        <v>44755</v>
      </c>
      <c r="H22" s="48">
        <v>-20</v>
      </c>
      <c r="K22" t="s">
        <v>351</v>
      </c>
      <c r="L22" s="21">
        <v>44785</v>
      </c>
      <c r="M22" s="48">
        <v>-25</v>
      </c>
      <c r="P22" t="s">
        <v>351</v>
      </c>
      <c r="Q22" s="21">
        <v>44823</v>
      </c>
      <c r="R22" s="48">
        <v>-20</v>
      </c>
      <c r="U22" t="s">
        <v>351</v>
      </c>
      <c r="V22" s="21">
        <v>44858</v>
      </c>
      <c r="W22" s="49">
        <v>-35</v>
      </c>
      <c r="Z22" t="s">
        <v>351</v>
      </c>
      <c r="AA22" s="21">
        <v>44878</v>
      </c>
      <c r="AB22" s="48">
        <v>-20.05</v>
      </c>
      <c r="AE22" t="s">
        <v>351</v>
      </c>
      <c r="AF22" s="21">
        <v>44910</v>
      </c>
      <c r="AG22" s="48">
        <v>-30.01</v>
      </c>
      <c r="AJ22" t="s">
        <v>464</v>
      </c>
      <c r="AK22" s="21">
        <v>44932</v>
      </c>
      <c r="AL22" s="48">
        <v>-23.41</v>
      </c>
      <c r="AO22" t="s">
        <v>351</v>
      </c>
      <c r="AP22" s="21">
        <v>44966</v>
      </c>
      <c r="AQ22" s="48">
        <v>-20.25</v>
      </c>
      <c r="AT22" t="s">
        <v>351</v>
      </c>
      <c r="AU22" s="21">
        <v>44996</v>
      </c>
      <c r="AV22" s="48">
        <v>-20</v>
      </c>
      <c r="AY22" t="s">
        <v>351</v>
      </c>
      <c r="AZ22" s="21">
        <v>45029</v>
      </c>
      <c r="BA22" s="48">
        <v>-21</v>
      </c>
      <c r="BD22" s="38" t="s">
        <v>351</v>
      </c>
      <c r="BE22" s="21">
        <v>45065</v>
      </c>
      <c r="BF22" s="48">
        <v>-20</v>
      </c>
    </row>
    <row r="23" spans="1:59" x14ac:dyDescent="0.35">
      <c r="A23" s="50" t="s">
        <v>547</v>
      </c>
      <c r="B23" s="51" t="s">
        <v>340</v>
      </c>
      <c r="C23" s="51" t="s">
        <v>342</v>
      </c>
      <c r="D23" s="51" t="s">
        <v>343</v>
      </c>
      <c r="F23" t="s">
        <v>351</v>
      </c>
      <c r="G23" s="21">
        <v>44760</v>
      </c>
      <c r="H23" s="48">
        <v>-15</v>
      </c>
      <c r="K23" t="s">
        <v>351</v>
      </c>
      <c r="L23" s="21">
        <v>44788</v>
      </c>
      <c r="M23" s="48">
        <v>-18</v>
      </c>
      <c r="P23" t="s">
        <v>351</v>
      </c>
      <c r="Q23" s="21">
        <v>44828</v>
      </c>
      <c r="R23" s="48">
        <v>-20.010000000000002</v>
      </c>
      <c r="V23" s="2"/>
      <c r="W23" s="48">
        <f>SUM(W20:W22)</f>
        <v>-115</v>
      </c>
      <c r="Z23" t="s">
        <v>351</v>
      </c>
      <c r="AA23" s="21">
        <v>44883</v>
      </c>
      <c r="AB23" s="48">
        <v>-30</v>
      </c>
      <c r="AE23" t="s">
        <v>351</v>
      </c>
      <c r="AF23" s="21">
        <v>44915</v>
      </c>
      <c r="AG23" s="48">
        <v>-25</v>
      </c>
      <c r="AJ23" t="s">
        <v>465</v>
      </c>
      <c r="AK23" s="21">
        <v>44939</v>
      </c>
      <c r="AL23" s="48">
        <v>-29.61</v>
      </c>
      <c r="AO23" t="s">
        <v>351</v>
      </c>
      <c r="AP23" s="21">
        <v>44972</v>
      </c>
      <c r="AQ23" s="48">
        <v>-30</v>
      </c>
      <c r="AT23" t="s">
        <v>351</v>
      </c>
      <c r="AU23" s="21">
        <v>45000</v>
      </c>
      <c r="AV23" s="48">
        <v>-20</v>
      </c>
      <c r="AZ23" s="2"/>
      <c r="BA23" s="55">
        <f>SUM(BA20:BA22)</f>
        <v>-66.05</v>
      </c>
      <c r="BD23" s="38" t="s">
        <v>351</v>
      </c>
      <c r="BE23" s="21">
        <v>45068</v>
      </c>
      <c r="BF23" s="48">
        <v>-20</v>
      </c>
    </row>
    <row r="24" spans="1:59" ht="15" thickBot="1" x14ac:dyDescent="0.4">
      <c r="F24" t="s">
        <v>351</v>
      </c>
      <c r="G24" s="21">
        <v>44767</v>
      </c>
      <c r="H24" s="49">
        <v>-20</v>
      </c>
      <c r="K24" t="s">
        <v>351</v>
      </c>
      <c r="L24" s="21">
        <v>44793</v>
      </c>
      <c r="M24" s="48">
        <v>-15.75</v>
      </c>
      <c r="P24" t="s">
        <v>351</v>
      </c>
      <c r="Q24" s="21">
        <v>44831</v>
      </c>
      <c r="R24" s="49">
        <v>-25</v>
      </c>
      <c r="Z24" t="s">
        <v>351</v>
      </c>
      <c r="AA24" s="21">
        <v>44895</v>
      </c>
      <c r="AB24" s="49">
        <v>-20</v>
      </c>
      <c r="AE24" t="s">
        <v>351</v>
      </c>
      <c r="AF24" s="21">
        <v>44918</v>
      </c>
      <c r="AG24" s="48">
        <v>-25</v>
      </c>
      <c r="AJ24" t="s">
        <v>351</v>
      </c>
      <c r="AK24" s="21">
        <v>44951</v>
      </c>
      <c r="AL24" s="49">
        <v>-30</v>
      </c>
      <c r="AO24" t="s">
        <v>351</v>
      </c>
      <c r="AP24" s="21">
        <v>44978</v>
      </c>
      <c r="AQ24" s="48">
        <v>-30</v>
      </c>
      <c r="AT24" t="s">
        <v>351</v>
      </c>
      <c r="AU24" s="21">
        <v>45005</v>
      </c>
      <c r="AV24" s="48">
        <v>-20</v>
      </c>
      <c r="BA24" s="48"/>
      <c r="BD24" s="38" t="s">
        <v>351</v>
      </c>
      <c r="BE24" s="21">
        <v>45076</v>
      </c>
      <c r="BF24" s="48">
        <v>-25.01</v>
      </c>
    </row>
    <row r="25" spans="1:59" ht="15" thickBot="1" x14ac:dyDescent="0.4">
      <c r="B25" s="21"/>
      <c r="C25" s="49"/>
      <c r="G25" s="2"/>
      <c r="H25" s="48">
        <f>SUM(H20:H24)</f>
        <v>-95.3</v>
      </c>
      <c r="K25" t="s">
        <v>351</v>
      </c>
      <c r="L25" s="21">
        <v>44794</v>
      </c>
      <c r="M25" s="49">
        <v>-20</v>
      </c>
      <c r="Q25" s="2"/>
      <c r="R25" s="48">
        <f>SUM(R20:R24)</f>
        <v>-110.01</v>
      </c>
      <c r="AA25" s="2"/>
      <c r="AB25" s="48">
        <f>SUM(AB20:AB24)</f>
        <v>-110.05</v>
      </c>
      <c r="AE25" t="s">
        <v>351</v>
      </c>
      <c r="AF25" s="21">
        <v>44918</v>
      </c>
      <c r="AG25" s="49">
        <v>-20</v>
      </c>
      <c r="AL25" s="48">
        <f>SUM(AL20:AL24)</f>
        <v>-137.13</v>
      </c>
      <c r="AO25" t="s">
        <v>351</v>
      </c>
      <c r="AP25" s="21">
        <v>44984</v>
      </c>
      <c r="AQ25" s="49">
        <v>-45</v>
      </c>
      <c r="AR25" t="s">
        <v>560</v>
      </c>
      <c r="AT25" t="s">
        <v>351</v>
      </c>
      <c r="AU25" s="21">
        <v>45009</v>
      </c>
      <c r="AV25" s="48">
        <v>-20</v>
      </c>
      <c r="BA25" s="48"/>
      <c r="BE25" s="2"/>
      <c r="BF25" s="55">
        <f>SUM(BF20:BF24)</f>
        <v>-120.01</v>
      </c>
    </row>
    <row r="26" spans="1:59" ht="15" thickBot="1" x14ac:dyDescent="0.4">
      <c r="B26" s="2"/>
      <c r="C26" s="48">
        <f>SUM(C24:C25)</f>
        <v>0</v>
      </c>
      <c r="M26" s="48">
        <f>SUM(M20:M25)</f>
        <v>-113.75</v>
      </c>
      <c r="U26" s="50" t="s">
        <v>357</v>
      </c>
      <c r="V26" s="51" t="s">
        <v>340</v>
      </c>
      <c r="W26" s="53" t="s">
        <v>342</v>
      </c>
      <c r="X26" s="51" t="s">
        <v>343</v>
      </c>
      <c r="AG26" s="48">
        <f>SUM(AG20:AG25)</f>
        <v>-145.06</v>
      </c>
      <c r="AL26" s="48"/>
      <c r="AQ26" s="48">
        <f>SUM(AQ20:AQ25)</f>
        <v>-175.25</v>
      </c>
      <c r="AT26" t="s">
        <v>351</v>
      </c>
      <c r="AU26" s="21">
        <v>45012</v>
      </c>
      <c r="AV26" s="48">
        <v>-20</v>
      </c>
      <c r="AY26" s="52" t="s">
        <v>357</v>
      </c>
      <c r="AZ26" s="53" t="s">
        <v>340</v>
      </c>
      <c r="BA26" s="53" t="s">
        <v>342</v>
      </c>
      <c r="BB26" s="53" t="s">
        <v>343</v>
      </c>
      <c r="BF26" s="48"/>
    </row>
    <row r="27" spans="1:59" x14ac:dyDescent="0.35">
      <c r="U27" t="s">
        <v>351</v>
      </c>
      <c r="V27" s="21">
        <v>44835</v>
      </c>
      <c r="W27" s="48">
        <v>-3.37</v>
      </c>
      <c r="AQ27" s="48"/>
      <c r="AU27" s="2"/>
      <c r="AV27" s="55">
        <f>SUM(AV20:AV26)</f>
        <v>-165.26999999999998</v>
      </c>
      <c r="AY27" t="s">
        <v>351</v>
      </c>
      <c r="AZ27" s="21">
        <v>45017</v>
      </c>
      <c r="BA27" s="48">
        <v>-5.26</v>
      </c>
      <c r="BF27" s="48"/>
    </row>
    <row r="28" spans="1:59" x14ac:dyDescent="0.35">
      <c r="F28" s="50" t="s">
        <v>357</v>
      </c>
      <c r="G28" s="51" t="s">
        <v>340</v>
      </c>
      <c r="H28" s="53" t="s">
        <v>342</v>
      </c>
      <c r="I28" s="51" t="s">
        <v>343</v>
      </c>
      <c r="P28" s="50" t="s">
        <v>357</v>
      </c>
      <c r="Q28" s="51" t="s">
        <v>340</v>
      </c>
      <c r="R28" s="53" t="s">
        <v>342</v>
      </c>
      <c r="S28" s="51" t="s">
        <v>343</v>
      </c>
      <c r="U28" t="s">
        <v>351</v>
      </c>
      <c r="V28" s="21">
        <v>44836</v>
      </c>
      <c r="W28" s="48">
        <v>-7.58</v>
      </c>
      <c r="Z28" s="52" t="s">
        <v>357</v>
      </c>
      <c r="AA28" s="53" t="s">
        <v>340</v>
      </c>
      <c r="AB28" s="53" t="s">
        <v>342</v>
      </c>
      <c r="AC28" s="53" t="s">
        <v>343</v>
      </c>
      <c r="AJ28" s="52" t="s">
        <v>357</v>
      </c>
      <c r="AK28" s="53" t="s">
        <v>340</v>
      </c>
      <c r="AL28" s="53" t="s">
        <v>342</v>
      </c>
      <c r="AM28" s="53" t="s">
        <v>343</v>
      </c>
      <c r="AQ28" s="48"/>
      <c r="AV28" s="48"/>
      <c r="AY28" t="s">
        <v>351</v>
      </c>
      <c r="AZ28" s="21">
        <v>45019</v>
      </c>
      <c r="BA28" s="48">
        <v>-5.26</v>
      </c>
      <c r="BD28" s="156" t="s">
        <v>357</v>
      </c>
      <c r="BE28" s="53" t="s">
        <v>340</v>
      </c>
      <c r="BF28" s="53" t="s">
        <v>342</v>
      </c>
      <c r="BG28" s="53" t="s">
        <v>343</v>
      </c>
    </row>
    <row r="29" spans="1:59" x14ac:dyDescent="0.35">
      <c r="A29" s="50" t="s">
        <v>327</v>
      </c>
      <c r="B29" s="51" t="s">
        <v>340</v>
      </c>
      <c r="C29" s="51" t="s">
        <v>342</v>
      </c>
      <c r="D29" s="51" t="s">
        <v>343</v>
      </c>
      <c r="F29" t="s">
        <v>351</v>
      </c>
      <c r="G29" s="21">
        <v>44743</v>
      </c>
      <c r="H29" s="48">
        <v>-6.33</v>
      </c>
      <c r="K29" s="50" t="s">
        <v>357</v>
      </c>
      <c r="L29" s="51" t="s">
        <v>340</v>
      </c>
      <c r="M29" s="53" t="s">
        <v>342</v>
      </c>
      <c r="N29" s="51" t="s">
        <v>343</v>
      </c>
      <c r="P29" t="s">
        <v>351</v>
      </c>
      <c r="Q29" s="21">
        <v>44806</v>
      </c>
      <c r="R29" s="48">
        <v>-11.09</v>
      </c>
      <c r="U29" t="s">
        <v>351</v>
      </c>
      <c r="V29" s="21">
        <v>44838</v>
      </c>
      <c r="W29" s="48">
        <v>-4.21</v>
      </c>
      <c r="Z29" t="s">
        <v>351</v>
      </c>
      <c r="AA29" s="21">
        <v>44866</v>
      </c>
      <c r="AB29" s="48">
        <v>-4.7300000000000004</v>
      </c>
      <c r="AE29" s="52" t="s">
        <v>357</v>
      </c>
      <c r="AF29" s="53" t="s">
        <v>340</v>
      </c>
      <c r="AG29" s="53" t="s">
        <v>342</v>
      </c>
      <c r="AH29" s="53" t="s">
        <v>343</v>
      </c>
      <c r="AJ29" t="s">
        <v>465</v>
      </c>
      <c r="AK29" s="21">
        <v>44939</v>
      </c>
      <c r="AL29" s="48">
        <v>-47.82</v>
      </c>
      <c r="AO29" s="52" t="s">
        <v>357</v>
      </c>
      <c r="AP29" s="53" t="s">
        <v>340</v>
      </c>
      <c r="AQ29" s="53" t="s">
        <v>342</v>
      </c>
      <c r="AR29" s="53" t="s">
        <v>343</v>
      </c>
      <c r="AV29" s="48"/>
      <c r="AY29" t="s">
        <v>351</v>
      </c>
      <c r="AZ29" s="21">
        <v>45023</v>
      </c>
      <c r="BA29" s="48">
        <v>-5.26</v>
      </c>
      <c r="BD29" s="38" t="s">
        <v>351</v>
      </c>
      <c r="BE29" s="21">
        <v>45047</v>
      </c>
      <c r="BF29" s="48">
        <v>-2.98</v>
      </c>
    </row>
    <row r="30" spans="1:59" x14ac:dyDescent="0.35">
      <c r="A30" t="s">
        <v>351</v>
      </c>
      <c r="B30" s="21">
        <v>44720</v>
      </c>
      <c r="C30" s="48">
        <v>-15</v>
      </c>
      <c r="F30" t="s">
        <v>351</v>
      </c>
      <c r="G30" s="21">
        <v>44744</v>
      </c>
      <c r="H30" s="48">
        <v>-10.52</v>
      </c>
      <c r="K30" t="s">
        <v>351</v>
      </c>
      <c r="L30" s="21">
        <v>44777</v>
      </c>
      <c r="M30" s="48">
        <v>-5.99</v>
      </c>
      <c r="P30" t="s">
        <v>351</v>
      </c>
      <c r="Q30" s="21">
        <v>44808</v>
      </c>
      <c r="R30" s="48">
        <v>-8.1</v>
      </c>
      <c r="U30" t="s">
        <v>351</v>
      </c>
      <c r="V30" s="21">
        <v>44838</v>
      </c>
      <c r="W30" s="48">
        <v>-3.37</v>
      </c>
      <c r="Z30" t="s">
        <v>351</v>
      </c>
      <c r="AA30" s="21">
        <v>44869</v>
      </c>
      <c r="AB30" s="48">
        <v>-8.92</v>
      </c>
      <c r="AE30" t="s">
        <v>351</v>
      </c>
      <c r="AF30" s="21">
        <v>44899</v>
      </c>
      <c r="AG30" s="48">
        <v>-6.31</v>
      </c>
      <c r="AJ30" t="s">
        <v>351</v>
      </c>
      <c r="AK30" s="21">
        <v>44942</v>
      </c>
      <c r="AL30" s="48">
        <v>-7.25</v>
      </c>
      <c r="AO30" t="s">
        <v>351</v>
      </c>
      <c r="AP30" s="21">
        <v>44958</v>
      </c>
      <c r="AQ30" s="48">
        <v>-5.26</v>
      </c>
      <c r="AT30" s="52" t="s">
        <v>357</v>
      </c>
      <c r="AU30" s="53" t="s">
        <v>340</v>
      </c>
      <c r="AV30" s="53" t="s">
        <v>342</v>
      </c>
      <c r="AW30" s="53" t="s">
        <v>343</v>
      </c>
      <c r="AY30" t="s">
        <v>351</v>
      </c>
      <c r="AZ30" s="21">
        <v>45029</v>
      </c>
      <c r="BA30" s="48">
        <v>-5.26</v>
      </c>
      <c r="BD30" s="38" t="s">
        <v>351</v>
      </c>
      <c r="BE30" s="21">
        <v>45049</v>
      </c>
      <c r="BF30" s="48">
        <v>-5.26</v>
      </c>
    </row>
    <row r="31" spans="1:59" x14ac:dyDescent="0.35">
      <c r="A31" t="s">
        <v>351</v>
      </c>
      <c r="B31" s="21">
        <v>44721</v>
      </c>
      <c r="C31" s="48">
        <v>-25</v>
      </c>
      <c r="F31" t="s">
        <v>351</v>
      </c>
      <c r="G31" s="21">
        <v>44746</v>
      </c>
      <c r="H31" s="48">
        <v>-6.33</v>
      </c>
      <c r="K31" t="s">
        <v>351</v>
      </c>
      <c r="L31" s="21">
        <v>44777</v>
      </c>
      <c r="M31" s="48">
        <v>-9.82</v>
      </c>
      <c r="P31" t="s">
        <v>351</v>
      </c>
      <c r="Q31" s="21">
        <v>44811</v>
      </c>
      <c r="R31" s="48">
        <v>-3.37</v>
      </c>
      <c r="U31" t="s">
        <v>351</v>
      </c>
      <c r="V31" s="21">
        <v>44839</v>
      </c>
      <c r="W31" s="48">
        <v>-8.4</v>
      </c>
      <c r="Z31" t="s">
        <v>351</v>
      </c>
      <c r="AA31" s="21">
        <v>44871</v>
      </c>
      <c r="AB31" s="48">
        <v>-4.21</v>
      </c>
      <c r="AE31" t="s">
        <v>351</v>
      </c>
      <c r="AF31" s="21">
        <v>44903</v>
      </c>
      <c r="AG31" s="48">
        <v>-4.7300000000000004</v>
      </c>
      <c r="AJ31" t="s">
        <v>351</v>
      </c>
      <c r="AK31" s="21">
        <v>44948</v>
      </c>
      <c r="AL31" s="48">
        <v>-9.4499999999999993</v>
      </c>
      <c r="AO31" t="s">
        <v>351</v>
      </c>
      <c r="AP31" s="21">
        <v>44963</v>
      </c>
      <c r="AQ31" s="48">
        <v>-7.05</v>
      </c>
      <c r="AT31" t="s">
        <v>351</v>
      </c>
      <c r="AU31" s="21">
        <v>44991</v>
      </c>
      <c r="AV31" s="48">
        <v>-7.25</v>
      </c>
      <c r="AY31" t="s">
        <v>351</v>
      </c>
      <c r="AZ31" s="21">
        <v>45031</v>
      </c>
      <c r="BA31" s="48">
        <v>-8.82</v>
      </c>
      <c r="BD31" s="38" t="s">
        <v>351</v>
      </c>
      <c r="BE31" s="21">
        <v>45049</v>
      </c>
      <c r="BF31" s="48">
        <v>-8.82</v>
      </c>
    </row>
    <row r="32" spans="1:59" x14ac:dyDescent="0.35">
      <c r="A32" t="s">
        <v>351</v>
      </c>
      <c r="B32" s="21">
        <v>44726</v>
      </c>
      <c r="C32" s="48">
        <v>-20</v>
      </c>
      <c r="F32" t="s">
        <v>351</v>
      </c>
      <c r="G32" s="21">
        <v>44746</v>
      </c>
      <c r="H32" s="48">
        <v>-6.4</v>
      </c>
      <c r="K32" t="s">
        <v>351</v>
      </c>
      <c r="L32" s="21">
        <v>44780</v>
      </c>
      <c r="M32" s="48">
        <v>-6.81</v>
      </c>
      <c r="P32" t="s">
        <v>351</v>
      </c>
      <c r="Q32" s="21">
        <v>44812</v>
      </c>
      <c r="R32" s="48">
        <v>-6.08</v>
      </c>
      <c r="U32" t="s">
        <v>351</v>
      </c>
      <c r="V32" s="21">
        <v>44840</v>
      </c>
      <c r="W32" s="48">
        <v>-6.9</v>
      </c>
      <c r="Z32" t="s">
        <v>351</v>
      </c>
      <c r="AA32" s="21">
        <v>44873</v>
      </c>
      <c r="AB32" s="48">
        <v>-7.36</v>
      </c>
      <c r="AE32" t="s">
        <v>351</v>
      </c>
      <c r="AF32" s="21">
        <v>44903</v>
      </c>
      <c r="AG32" s="48">
        <v>-5.99</v>
      </c>
      <c r="AJ32" t="s">
        <v>351</v>
      </c>
      <c r="AK32" s="21">
        <v>44949</v>
      </c>
      <c r="AL32" s="48">
        <v>-25.26</v>
      </c>
      <c r="AO32" t="s">
        <v>351</v>
      </c>
      <c r="AP32" s="21">
        <v>44969</v>
      </c>
      <c r="AQ32" s="48">
        <v>-2.83</v>
      </c>
      <c r="AT32" t="s">
        <v>351</v>
      </c>
      <c r="AU32" s="21">
        <v>44993</v>
      </c>
      <c r="AV32" s="48">
        <v>-5.26</v>
      </c>
      <c r="AY32" t="s">
        <v>351</v>
      </c>
      <c r="AZ32" s="21">
        <v>45035</v>
      </c>
      <c r="BA32" s="48">
        <v>-12.19</v>
      </c>
      <c r="BD32" s="38" t="s">
        <v>351</v>
      </c>
      <c r="BE32" s="21">
        <v>45052</v>
      </c>
      <c r="BF32" s="48">
        <v>-11.25</v>
      </c>
    </row>
    <row r="33" spans="1:59" x14ac:dyDescent="0.35">
      <c r="A33" t="s">
        <v>351</v>
      </c>
      <c r="B33" s="21">
        <v>44729</v>
      </c>
      <c r="C33" s="48">
        <v>-25.3</v>
      </c>
      <c r="F33" t="s">
        <v>351</v>
      </c>
      <c r="G33" s="21">
        <v>44747</v>
      </c>
      <c r="H33" s="48">
        <v>-10.4</v>
      </c>
      <c r="K33" t="s">
        <v>351</v>
      </c>
      <c r="L33" s="21">
        <v>44782</v>
      </c>
      <c r="M33" s="48">
        <v>-7.56</v>
      </c>
      <c r="P33" t="s">
        <v>351</v>
      </c>
      <c r="Q33" s="21">
        <v>44814</v>
      </c>
      <c r="R33" s="48">
        <v>-6.81</v>
      </c>
      <c r="U33" t="s">
        <v>351</v>
      </c>
      <c r="V33" s="21">
        <v>44841</v>
      </c>
      <c r="W33" s="48">
        <v>-11.09</v>
      </c>
      <c r="Z33" t="s">
        <v>351</v>
      </c>
      <c r="AA33" s="21">
        <v>44873</v>
      </c>
      <c r="AB33" s="48">
        <v>-8.19</v>
      </c>
      <c r="AE33" t="s">
        <v>351</v>
      </c>
      <c r="AF33" s="21">
        <v>44905</v>
      </c>
      <c r="AG33" s="48">
        <v>-12.18</v>
      </c>
      <c r="AJ33" t="s">
        <v>351</v>
      </c>
      <c r="AK33" s="21">
        <v>44950</v>
      </c>
      <c r="AL33" s="48">
        <v>-5.26</v>
      </c>
      <c r="AO33" t="s">
        <v>351</v>
      </c>
      <c r="AP33" s="21">
        <v>44970</v>
      </c>
      <c r="AQ33" s="48">
        <v>-4.7300000000000004</v>
      </c>
      <c r="AT33" t="s">
        <v>351</v>
      </c>
      <c r="AU33" s="21">
        <v>44994</v>
      </c>
      <c r="AV33" s="48">
        <v>-8.82</v>
      </c>
      <c r="AY33" t="s">
        <v>351</v>
      </c>
      <c r="AZ33" s="21">
        <v>45037</v>
      </c>
      <c r="BA33" s="48">
        <v>-13.34</v>
      </c>
      <c r="BD33" s="38" t="s">
        <v>351</v>
      </c>
      <c r="BE33" s="21">
        <v>45054</v>
      </c>
      <c r="BF33" s="48">
        <v>-8.24</v>
      </c>
    </row>
    <row r="34" spans="1:59" ht="15" thickBot="1" x14ac:dyDescent="0.4">
      <c r="A34" t="s">
        <v>351</v>
      </c>
      <c r="B34" s="21">
        <v>44730</v>
      </c>
      <c r="C34" s="49">
        <v>-20</v>
      </c>
      <c r="F34" t="s">
        <v>351</v>
      </c>
      <c r="G34" s="21">
        <v>44748</v>
      </c>
      <c r="H34" s="48">
        <v>-17.04</v>
      </c>
      <c r="K34" t="s">
        <v>351</v>
      </c>
      <c r="L34" s="21">
        <v>44782</v>
      </c>
      <c r="M34" s="48">
        <v>-4</v>
      </c>
      <c r="P34" t="s">
        <v>351</v>
      </c>
      <c r="Q34" s="21">
        <v>44816</v>
      </c>
      <c r="R34" s="48">
        <v>-5.99</v>
      </c>
      <c r="U34" t="s">
        <v>351</v>
      </c>
      <c r="V34" s="21">
        <v>44843</v>
      </c>
      <c r="W34" s="48">
        <v>-11.62</v>
      </c>
      <c r="Z34" t="s">
        <v>351</v>
      </c>
      <c r="AA34" s="21">
        <v>44875</v>
      </c>
      <c r="AB34" s="48">
        <v>-4.21</v>
      </c>
      <c r="AE34" t="s">
        <v>351</v>
      </c>
      <c r="AF34" s="21">
        <v>44910</v>
      </c>
      <c r="AG34" s="48">
        <v>-4.21</v>
      </c>
      <c r="AJ34" t="s">
        <v>351</v>
      </c>
      <c r="AK34" s="21">
        <v>44951</v>
      </c>
      <c r="AL34" s="48">
        <v>-4.7300000000000004</v>
      </c>
      <c r="AO34" t="s">
        <v>351</v>
      </c>
      <c r="AP34" s="21">
        <v>44974</v>
      </c>
      <c r="AQ34" s="48">
        <v>-11.25</v>
      </c>
      <c r="AT34" t="s">
        <v>351</v>
      </c>
      <c r="AU34" s="21">
        <v>44995</v>
      </c>
      <c r="AV34" s="48">
        <v>-8.82</v>
      </c>
      <c r="AY34" t="s">
        <v>351</v>
      </c>
      <c r="AZ34" s="21">
        <v>45042</v>
      </c>
      <c r="BA34" s="48">
        <v>-5.99</v>
      </c>
      <c r="BD34" s="38" t="s">
        <v>351</v>
      </c>
      <c r="BE34" s="21">
        <v>45063</v>
      </c>
      <c r="BF34" s="48">
        <v>-8.1</v>
      </c>
    </row>
    <row r="35" spans="1:59" ht="15" thickBot="1" x14ac:dyDescent="0.4">
      <c r="B35" s="2"/>
      <c r="C35" s="48">
        <f>SUM(C30:C34)</f>
        <v>-105.3</v>
      </c>
      <c r="F35" t="s">
        <v>351</v>
      </c>
      <c r="G35" s="21">
        <v>44749</v>
      </c>
      <c r="H35" s="48">
        <v>-5.78</v>
      </c>
      <c r="K35" t="s">
        <v>351</v>
      </c>
      <c r="L35" s="21">
        <v>44787</v>
      </c>
      <c r="M35" s="48">
        <v>-11.41</v>
      </c>
      <c r="P35" t="s">
        <v>351</v>
      </c>
      <c r="Q35" s="21">
        <v>44816</v>
      </c>
      <c r="R35" s="48">
        <v>-8.4</v>
      </c>
      <c r="U35" t="s">
        <v>351</v>
      </c>
      <c r="V35" s="21">
        <v>44843</v>
      </c>
      <c r="W35" s="48">
        <v>-7.88</v>
      </c>
      <c r="Z35" t="s">
        <v>351</v>
      </c>
      <c r="AA35" s="21">
        <v>44875</v>
      </c>
      <c r="AB35" s="48">
        <v>-6.81</v>
      </c>
      <c r="AE35" t="s">
        <v>351</v>
      </c>
      <c r="AF35" s="21">
        <v>44915</v>
      </c>
      <c r="AG35" s="48">
        <v>-4.7300000000000004</v>
      </c>
      <c r="AJ35" t="s">
        <v>351</v>
      </c>
      <c r="AK35" s="21">
        <v>44951</v>
      </c>
      <c r="AL35" s="48">
        <v>-5.99</v>
      </c>
      <c r="AO35" t="s">
        <v>351</v>
      </c>
      <c r="AP35" s="21">
        <v>44975</v>
      </c>
      <c r="AQ35" s="48">
        <v>-16.25</v>
      </c>
      <c r="AT35" t="s">
        <v>351</v>
      </c>
      <c r="AU35" s="21">
        <v>44997</v>
      </c>
      <c r="AV35" s="48">
        <v>-8.82</v>
      </c>
      <c r="AY35" t="s">
        <v>351</v>
      </c>
      <c r="AZ35" s="21">
        <v>45043</v>
      </c>
      <c r="BA35" s="48">
        <v>-5.26</v>
      </c>
      <c r="BD35" s="38" t="s">
        <v>351</v>
      </c>
      <c r="BE35" s="21">
        <v>45065</v>
      </c>
      <c r="BF35" s="48">
        <v>-14.09</v>
      </c>
    </row>
    <row r="36" spans="1:59" x14ac:dyDescent="0.35">
      <c r="F36" t="s">
        <v>351</v>
      </c>
      <c r="G36" s="21">
        <v>44750</v>
      </c>
      <c r="H36" s="48">
        <v>-5.39</v>
      </c>
      <c r="K36" t="s">
        <v>351</v>
      </c>
      <c r="L36" s="21">
        <v>44790</v>
      </c>
      <c r="M36" s="48">
        <v>-5.99</v>
      </c>
      <c r="P36" t="s">
        <v>351</v>
      </c>
      <c r="Q36" s="21">
        <v>44817</v>
      </c>
      <c r="R36" s="48">
        <v>-9.14</v>
      </c>
      <c r="U36" t="s">
        <v>351</v>
      </c>
      <c r="V36" s="21">
        <v>44844</v>
      </c>
      <c r="W36" s="48">
        <v>-8.4</v>
      </c>
      <c r="Z36" t="s">
        <v>351</v>
      </c>
      <c r="AA36" s="21">
        <v>44877</v>
      </c>
      <c r="AB36" s="48">
        <v>-13.99</v>
      </c>
      <c r="AE36" t="s">
        <v>351</v>
      </c>
      <c r="AF36" s="21">
        <v>44921</v>
      </c>
      <c r="AG36" s="48">
        <v>-15.5</v>
      </c>
      <c r="AJ36" t="s">
        <v>351</v>
      </c>
      <c r="AK36" s="21">
        <v>44952</v>
      </c>
      <c r="AL36" s="48">
        <v>-5.26</v>
      </c>
      <c r="AO36" t="s">
        <v>351</v>
      </c>
      <c r="AP36" s="21">
        <v>44977</v>
      </c>
      <c r="AQ36" s="48">
        <v>-6.73</v>
      </c>
      <c r="AT36" t="s">
        <v>351</v>
      </c>
      <c r="AU36" s="21">
        <v>45000</v>
      </c>
      <c r="AV36" s="48">
        <v>-3.14</v>
      </c>
      <c r="AZ36" s="2"/>
      <c r="BA36" s="55">
        <f>SUM(BA27:BA35)</f>
        <v>-66.64</v>
      </c>
      <c r="BD36" s="38" t="s">
        <v>351</v>
      </c>
      <c r="BE36" s="21">
        <v>45068</v>
      </c>
      <c r="BF36" s="48">
        <v>-16.37</v>
      </c>
    </row>
    <row r="37" spans="1:59" x14ac:dyDescent="0.35">
      <c r="F37" t="s">
        <v>351</v>
      </c>
      <c r="G37" s="21">
        <v>44751</v>
      </c>
      <c r="H37" s="48">
        <v>-10.050000000000001</v>
      </c>
      <c r="K37" t="s">
        <v>351</v>
      </c>
      <c r="L37" s="21">
        <v>44793</v>
      </c>
      <c r="M37" s="48">
        <v>-4.2</v>
      </c>
      <c r="P37" t="s">
        <v>351</v>
      </c>
      <c r="Q37" s="21">
        <v>44822</v>
      </c>
      <c r="R37" s="48">
        <v>-2.62</v>
      </c>
      <c r="U37" t="s">
        <v>351</v>
      </c>
      <c r="V37" s="21">
        <v>44844</v>
      </c>
      <c r="W37" s="48">
        <v>-7.58</v>
      </c>
      <c r="Z37" t="s">
        <v>351</v>
      </c>
      <c r="AA37" s="21">
        <v>44880</v>
      </c>
      <c r="AB37" s="48">
        <v>-4.21</v>
      </c>
      <c r="AE37" t="s">
        <v>351</v>
      </c>
      <c r="AF37" s="21">
        <v>44921</v>
      </c>
      <c r="AG37" s="48">
        <v>-22.63</v>
      </c>
      <c r="AJ37" t="s">
        <v>351</v>
      </c>
      <c r="AK37" s="21">
        <v>44955</v>
      </c>
      <c r="AL37" s="48">
        <v>-12.41</v>
      </c>
      <c r="AO37" t="s">
        <v>351</v>
      </c>
      <c r="AP37" s="21">
        <v>44981</v>
      </c>
      <c r="AQ37" s="48">
        <v>-5.26</v>
      </c>
      <c r="AT37" t="s">
        <v>351</v>
      </c>
      <c r="AU37" s="21">
        <v>45005</v>
      </c>
      <c r="AV37" s="48">
        <v>-5.26</v>
      </c>
      <c r="BA37" s="48"/>
      <c r="BD37" s="38" t="s">
        <v>351</v>
      </c>
      <c r="BE37" s="21">
        <v>45071</v>
      </c>
      <c r="BF37" s="48">
        <v>-6.99</v>
      </c>
    </row>
    <row r="38" spans="1:59" ht="15" thickBot="1" x14ac:dyDescent="0.4">
      <c r="A38" s="50" t="s">
        <v>329</v>
      </c>
      <c r="B38" s="51" t="s">
        <v>340</v>
      </c>
      <c r="C38" s="51" t="s">
        <v>342</v>
      </c>
      <c r="D38" s="51" t="s">
        <v>343</v>
      </c>
      <c r="F38" t="s">
        <v>351</v>
      </c>
      <c r="G38" s="21">
        <v>44752</v>
      </c>
      <c r="H38" s="48">
        <v>-17.940000000000001</v>
      </c>
      <c r="K38" t="s">
        <v>351</v>
      </c>
      <c r="L38" s="21">
        <v>44798</v>
      </c>
      <c r="M38" s="48">
        <v>-18.989999999999998</v>
      </c>
      <c r="P38" t="s">
        <v>351</v>
      </c>
      <c r="Q38" s="21">
        <v>44824</v>
      </c>
      <c r="R38" s="48">
        <v>-7.58</v>
      </c>
      <c r="U38" t="s">
        <v>351</v>
      </c>
      <c r="V38" s="21">
        <v>44845</v>
      </c>
      <c r="W38" s="48">
        <v>-6.73</v>
      </c>
      <c r="Z38" t="s">
        <v>351</v>
      </c>
      <c r="AA38" s="21">
        <v>44882</v>
      </c>
      <c r="AB38" s="48">
        <v>-5.25</v>
      </c>
      <c r="AE38" t="s">
        <v>351</v>
      </c>
      <c r="AF38" s="21">
        <v>44921</v>
      </c>
      <c r="AG38" s="48">
        <v>-12.22</v>
      </c>
      <c r="AJ38" t="s">
        <v>351</v>
      </c>
      <c r="AK38" s="21">
        <v>44956</v>
      </c>
      <c r="AL38" s="49">
        <v>-5.26</v>
      </c>
      <c r="AO38" t="s">
        <v>351</v>
      </c>
      <c r="AP38" s="21">
        <v>44984</v>
      </c>
      <c r="AQ38" s="48">
        <v>-5.26</v>
      </c>
      <c r="AT38" t="s">
        <v>351</v>
      </c>
      <c r="AU38" s="21">
        <v>45005</v>
      </c>
      <c r="AV38" s="48">
        <v>-11.25</v>
      </c>
      <c r="BA38" s="48"/>
      <c r="BD38" s="38" t="s">
        <v>351</v>
      </c>
      <c r="BE38" s="21">
        <v>45073</v>
      </c>
      <c r="BF38" s="48">
        <v>-5.26</v>
      </c>
    </row>
    <row r="39" spans="1:59" ht="15" thickBot="1" x14ac:dyDescent="0.4">
      <c r="A39" t="s">
        <v>351</v>
      </c>
      <c r="B39" s="21">
        <v>44713</v>
      </c>
      <c r="C39" s="48">
        <v>-9.27</v>
      </c>
      <c r="F39" t="s">
        <v>351</v>
      </c>
      <c r="G39" s="21">
        <v>44753</v>
      </c>
      <c r="H39" s="48">
        <v>-4.5199999999999996</v>
      </c>
      <c r="K39" t="s">
        <v>351</v>
      </c>
      <c r="L39" s="21">
        <v>44800</v>
      </c>
      <c r="M39" s="48">
        <v>-4.3099999999999996</v>
      </c>
      <c r="P39" t="s">
        <v>351</v>
      </c>
      <c r="Q39" s="21">
        <v>44824</v>
      </c>
      <c r="R39" s="48">
        <v>-6.62</v>
      </c>
      <c r="U39" t="s">
        <v>351</v>
      </c>
      <c r="V39" s="21">
        <v>44852</v>
      </c>
      <c r="W39" s="48">
        <v>-5.99</v>
      </c>
      <c r="Z39" t="s">
        <v>351</v>
      </c>
      <c r="AA39" s="21">
        <v>44883</v>
      </c>
      <c r="AB39" s="48">
        <v>-2.62</v>
      </c>
      <c r="AE39" t="s">
        <v>351</v>
      </c>
      <c r="AF39" s="21">
        <v>44924</v>
      </c>
      <c r="AG39" s="48">
        <v>-7.15</v>
      </c>
      <c r="AL39" s="48">
        <f>SUM(AL29:AL38)</f>
        <v>-128.69</v>
      </c>
      <c r="AO39" t="s">
        <v>351</v>
      </c>
      <c r="AP39" s="21">
        <v>44984</v>
      </c>
      <c r="AQ39" s="49">
        <v>-7.79</v>
      </c>
      <c r="AT39" t="s">
        <v>351</v>
      </c>
      <c r="AU39" s="21">
        <v>45010</v>
      </c>
      <c r="AV39" s="48">
        <v>-5.26</v>
      </c>
      <c r="AY39" s="52" t="s">
        <v>328</v>
      </c>
      <c r="AZ39" s="53" t="s">
        <v>340</v>
      </c>
      <c r="BA39" s="53" t="s">
        <v>342</v>
      </c>
      <c r="BB39" s="53" t="s">
        <v>343</v>
      </c>
      <c r="BD39" s="38" t="s">
        <v>351</v>
      </c>
      <c r="BE39" s="21">
        <v>45073</v>
      </c>
      <c r="BF39" s="48">
        <v>-5.26</v>
      </c>
    </row>
    <row r="40" spans="1:59" ht="15" thickBot="1" x14ac:dyDescent="0.4">
      <c r="A40" t="s">
        <v>351</v>
      </c>
      <c r="B40" s="21">
        <v>44714</v>
      </c>
      <c r="C40" s="48">
        <v>-5.78</v>
      </c>
      <c r="F40" t="s">
        <v>351</v>
      </c>
      <c r="G40" s="21">
        <v>44753</v>
      </c>
      <c r="H40" s="48">
        <v>-4.21</v>
      </c>
      <c r="K40" t="s">
        <v>351</v>
      </c>
      <c r="L40" s="21">
        <v>44803</v>
      </c>
      <c r="M40" s="49">
        <v>-6.81</v>
      </c>
      <c r="P40" t="s">
        <v>351</v>
      </c>
      <c r="Q40" s="21">
        <v>44825</v>
      </c>
      <c r="R40" s="48">
        <v>-3.37</v>
      </c>
      <c r="U40" t="s">
        <v>351</v>
      </c>
      <c r="V40" s="21">
        <v>44852</v>
      </c>
      <c r="W40" s="48">
        <v>-7.56</v>
      </c>
      <c r="Z40" t="s">
        <v>351</v>
      </c>
      <c r="AA40" s="21">
        <v>44884</v>
      </c>
      <c r="AB40" s="48">
        <v>-2.62</v>
      </c>
      <c r="AE40" t="s">
        <v>351</v>
      </c>
      <c r="AF40" s="21">
        <v>44925</v>
      </c>
      <c r="AG40" s="48">
        <v>-5.26</v>
      </c>
      <c r="AQ40" s="48">
        <f>SUM(AQ30:AQ39)</f>
        <v>-72.41</v>
      </c>
      <c r="AT40" t="s">
        <v>351</v>
      </c>
      <c r="AU40" s="21">
        <v>45011</v>
      </c>
      <c r="AV40" s="48">
        <v>-11.25</v>
      </c>
      <c r="AY40" t="s">
        <v>352</v>
      </c>
      <c r="AZ40" s="21">
        <v>45020</v>
      </c>
      <c r="BA40" s="48">
        <v>-19.510000000000002</v>
      </c>
      <c r="BE40" s="2"/>
      <c r="BF40" s="55">
        <f>SUM(BF29:BF39)</f>
        <v>-92.620000000000019</v>
      </c>
    </row>
    <row r="41" spans="1:59" ht="15" thickBot="1" x14ac:dyDescent="0.4">
      <c r="A41" t="s">
        <v>351</v>
      </c>
      <c r="B41" s="21">
        <v>44715</v>
      </c>
      <c r="C41" s="48">
        <v>-6.64</v>
      </c>
      <c r="F41" t="s">
        <v>351</v>
      </c>
      <c r="G41" s="21">
        <v>44754</v>
      </c>
      <c r="H41" s="48">
        <v>-2.31</v>
      </c>
      <c r="L41" s="2"/>
      <c r="M41" s="48">
        <f>SUM(M30:M40)</f>
        <v>-85.890000000000015</v>
      </c>
      <c r="P41" t="s">
        <v>351</v>
      </c>
      <c r="Q41" s="21">
        <v>44828</v>
      </c>
      <c r="R41" s="48">
        <v>-4.7300000000000004</v>
      </c>
      <c r="U41" t="s">
        <v>351</v>
      </c>
      <c r="V41" s="21">
        <v>44854</v>
      </c>
      <c r="W41" s="48">
        <v>-4.7300000000000004</v>
      </c>
      <c r="Z41" t="s">
        <v>351</v>
      </c>
      <c r="AA41" s="21">
        <v>44886</v>
      </c>
      <c r="AB41" s="48">
        <v>-4.21</v>
      </c>
      <c r="AE41" t="s">
        <v>351</v>
      </c>
      <c r="AF41" s="21">
        <v>44926</v>
      </c>
      <c r="AG41" s="49">
        <v>-5.26</v>
      </c>
      <c r="AT41" t="s">
        <v>351</v>
      </c>
      <c r="AU41" s="21">
        <v>45012</v>
      </c>
      <c r="AV41" s="48">
        <v>-5.26</v>
      </c>
      <c r="AY41" t="s">
        <v>352</v>
      </c>
      <c r="AZ41" s="21">
        <v>45021</v>
      </c>
      <c r="BA41" s="48">
        <v>-22.08</v>
      </c>
      <c r="BF41" s="48"/>
    </row>
    <row r="42" spans="1:59" x14ac:dyDescent="0.35">
      <c r="A42" t="s">
        <v>351</v>
      </c>
      <c r="B42" s="21">
        <v>44716</v>
      </c>
      <c r="C42" s="48">
        <v>-4.21</v>
      </c>
      <c r="F42" t="s">
        <v>351</v>
      </c>
      <c r="G42" s="21">
        <v>44754</v>
      </c>
      <c r="H42" s="48">
        <v>-8.83</v>
      </c>
      <c r="P42" t="s">
        <v>351</v>
      </c>
      <c r="Q42" s="21">
        <v>44829</v>
      </c>
      <c r="R42" s="48">
        <v>-8.4</v>
      </c>
      <c r="U42" t="s">
        <v>351</v>
      </c>
      <c r="V42" s="21">
        <v>44854</v>
      </c>
      <c r="W42" s="48">
        <v>-7.88</v>
      </c>
      <c r="Z42" t="s">
        <v>351</v>
      </c>
      <c r="AA42" s="21">
        <v>44888</v>
      </c>
      <c r="AB42" s="48">
        <v>-6.81</v>
      </c>
      <c r="AG42" s="48">
        <f>SUM(AG30:AG41)</f>
        <v>-106.17000000000002</v>
      </c>
      <c r="AJ42" s="52" t="s">
        <v>328</v>
      </c>
      <c r="AK42" s="53" t="s">
        <v>340</v>
      </c>
      <c r="AL42" s="53" t="s">
        <v>342</v>
      </c>
      <c r="AM42" s="53" t="s">
        <v>343</v>
      </c>
      <c r="AT42" t="s">
        <v>351</v>
      </c>
      <c r="AU42" s="21">
        <v>45013</v>
      </c>
      <c r="AV42" s="48">
        <v>-8.82</v>
      </c>
      <c r="AY42" t="s">
        <v>874</v>
      </c>
      <c r="AZ42" s="21">
        <v>45026</v>
      </c>
      <c r="BA42" s="48">
        <v>-10.54</v>
      </c>
      <c r="BF42" s="48"/>
    </row>
    <row r="43" spans="1:59" ht="15" thickBot="1" x14ac:dyDescent="0.4">
      <c r="A43" t="s">
        <v>351</v>
      </c>
      <c r="B43" s="21">
        <v>44719</v>
      </c>
      <c r="C43" s="48">
        <v>-4.21</v>
      </c>
      <c r="F43" t="s">
        <v>351</v>
      </c>
      <c r="G43" s="21">
        <v>44755</v>
      </c>
      <c r="H43" s="48">
        <v>-4.6399999999999997</v>
      </c>
      <c r="L43" s="2"/>
      <c r="M43" s="48"/>
      <c r="P43" t="s">
        <v>351</v>
      </c>
      <c r="Q43" s="21">
        <v>44830</v>
      </c>
      <c r="R43" s="48">
        <v>-3.37</v>
      </c>
      <c r="U43" t="s">
        <v>351</v>
      </c>
      <c r="V43" s="21">
        <v>44856</v>
      </c>
      <c r="W43" s="48">
        <v>-8.4</v>
      </c>
      <c r="Z43" t="s">
        <v>351</v>
      </c>
      <c r="AA43" s="21">
        <v>44890</v>
      </c>
      <c r="AB43" s="48">
        <v>-4.21</v>
      </c>
      <c r="AJ43" t="s">
        <v>466</v>
      </c>
      <c r="AK43" s="21">
        <v>44931</v>
      </c>
      <c r="AL43" s="48">
        <v>-16.13</v>
      </c>
      <c r="AO43" s="52" t="s">
        <v>328</v>
      </c>
      <c r="AP43" s="53" t="s">
        <v>340</v>
      </c>
      <c r="AQ43" s="53" t="s">
        <v>342</v>
      </c>
      <c r="AR43" s="53" t="s">
        <v>343</v>
      </c>
      <c r="AT43" t="s">
        <v>351</v>
      </c>
      <c r="AU43" s="21">
        <v>45014</v>
      </c>
      <c r="AV43" s="48">
        <v>-14.78</v>
      </c>
      <c r="AY43" t="s">
        <v>352</v>
      </c>
      <c r="AZ43" s="21">
        <v>45026</v>
      </c>
      <c r="BA43" s="48">
        <v>-17.22</v>
      </c>
      <c r="BD43" s="156" t="s">
        <v>328</v>
      </c>
      <c r="BE43" s="53" t="s">
        <v>340</v>
      </c>
      <c r="BF43" s="53" t="s">
        <v>342</v>
      </c>
      <c r="BG43" s="53" t="s">
        <v>343</v>
      </c>
    </row>
    <row r="44" spans="1:59" x14ac:dyDescent="0.35">
      <c r="A44" t="s">
        <v>351</v>
      </c>
      <c r="B44" s="21">
        <v>44720</v>
      </c>
      <c r="C44" s="48">
        <v>-5.89</v>
      </c>
      <c r="F44" t="s">
        <v>351</v>
      </c>
      <c r="G44" s="21">
        <v>44755</v>
      </c>
      <c r="H44" s="48">
        <v>-2.69</v>
      </c>
      <c r="K44" s="50" t="s">
        <v>328</v>
      </c>
      <c r="L44" s="51" t="s">
        <v>340</v>
      </c>
      <c r="M44" s="53" t="s">
        <v>342</v>
      </c>
      <c r="N44" s="51" t="s">
        <v>343</v>
      </c>
      <c r="P44" t="s">
        <v>351</v>
      </c>
      <c r="Q44" s="21">
        <v>44831</v>
      </c>
      <c r="R44" s="48">
        <v>-10.41</v>
      </c>
      <c r="U44" t="s">
        <v>351</v>
      </c>
      <c r="V44" s="21">
        <v>44858</v>
      </c>
      <c r="W44" s="48">
        <v>-8.1</v>
      </c>
      <c r="Z44" t="s">
        <v>351</v>
      </c>
      <c r="AA44" s="21">
        <v>44894</v>
      </c>
      <c r="AB44" s="48">
        <v>-4.7300000000000004</v>
      </c>
      <c r="AJ44" t="s">
        <v>466</v>
      </c>
      <c r="AK44" s="21">
        <v>44931</v>
      </c>
      <c r="AL44" s="48">
        <v>-9.2200000000000006</v>
      </c>
      <c r="AO44" t="s">
        <v>352</v>
      </c>
      <c r="AP44" s="21">
        <v>44959</v>
      </c>
      <c r="AQ44" s="48">
        <v>-29.97</v>
      </c>
      <c r="AU44" s="2"/>
      <c r="AV44" s="55">
        <f>SUM(AV31:AV43)</f>
        <v>-103.99000000000001</v>
      </c>
      <c r="AY44" t="s">
        <v>352</v>
      </c>
      <c r="AZ44" s="21">
        <v>45027</v>
      </c>
      <c r="BA44" s="48">
        <v>-20.97</v>
      </c>
      <c r="BD44" s="38" t="s">
        <v>352</v>
      </c>
      <c r="BE44" s="21">
        <v>45047</v>
      </c>
      <c r="BF44" s="48">
        <v>-11.78</v>
      </c>
    </row>
    <row r="45" spans="1:59" ht="15" thickBot="1" x14ac:dyDescent="0.4">
      <c r="A45" t="s">
        <v>351</v>
      </c>
      <c r="B45" s="21">
        <v>44722</v>
      </c>
      <c r="C45" s="48">
        <v>-6.31</v>
      </c>
      <c r="F45" t="s">
        <v>351</v>
      </c>
      <c r="G45" s="21">
        <v>44759</v>
      </c>
      <c r="H45" s="48">
        <v>-4.88</v>
      </c>
      <c r="K45" t="s">
        <v>352</v>
      </c>
      <c r="L45" s="21">
        <v>44780</v>
      </c>
      <c r="M45" s="48">
        <v>-21.16</v>
      </c>
      <c r="P45" t="s">
        <v>351</v>
      </c>
      <c r="Q45" s="21">
        <v>44832</v>
      </c>
      <c r="R45" s="48">
        <v>-6.51</v>
      </c>
      <c r="U45" t="s">
        <v>351</v>
      </c>
      <c r="V45" s="21">
        <v>44859</v>
      </c>
      <c r="W45" s="48">
        <v>-6.51</v>
      </c>
      <c r="Z45" t="s">
        <v>351</v>
      </c>
      <c r="AA45" s="21">
        <v>44895</v>
      </c>
      <c r="AB45" s="49">
        <v>-4.7300000000000004</v>
      </c>
      <c r="AE45" s="52" t="s">
        <v>328</v>
      </c>
      <c r="AF45" s="53" t="s">
        <v>340</v>
      </c>
      <c r="AG45" s="53" t="s">
        <v>342</v>
      </c>
      <c r="AH45" s="53" t="s">
        <v>343</v>
      </c>
      <c r="AJ45" t="s">
        <v>466</v>
      </c>
      <c r="AK45" s="21">
        <v>44935</v>
      </c>
      <c r="AL45" s="48">
        <v>-20.09</v>
      </c>
      <c r="AO45" t="s">
        <v>467</v>
      </c>
      <c r="AP45" s="21">
        <v>44962</v>
      </c>
      <c r="AQ45" s="48">
        <v>-23.2</v>
      </c>
      <c r="AR45" t="s">
        <v>468</v>
      </c>
      <c r="AV45" s="48"/>
      <c r="AY45" t="s">
        <v>352</v>
      </c>
      <c r="AZ45" s="21">
        <v>45029</v>
      </c>
      <c r="BA45" s="48">
        <v>-11.27</v>
      </c>
      <c r="BD45" s="38" t="s">
        <v>352</v>
      </c>
      <c r="BE45" s="21">
        <v>45054</v>
      </c>
      <c r="BF45" s="48">
        <v>-19.71</v>
      </c>
    </row>
    <row r="46" spans="1:59" ht="15" thickBot="1" x14ac:dyDescent="0.4">
      <c r="A46" t="s">
        <v>351</v>
      </c>
      <c r="B46" s="21">
        <v>44724</v>
      </c>
      <c r="C46" s="48">
        <v>-4.21</v>
      </c>
      <c r="F46" t="s">
        <v>351</v>
      </c>
      <c r="G46" s="21">
        <v>44760</v>
      </c>
      <c r="H46" s="48">
        <v>-4.88</v>
      </c>
      <c r="K46" t="s">
        <v>355</v>
      </c>
      <c r="L46" s="21">
        <v>44788</v>
      </c>
      <c r="M46" s="48">
        <v>-17.91</v>
      </c>
      <c r="P46" t="s">
        <v>351</v>
      </c>
      <c r="Q46" s="21">
        <v>44833</v>
      </c>
      <c r="R46" s="49">
        <v>-4.7300000000000004</v>
      </c>
      <c r="U46" t="s">
        <v>351</v>
      </c>
      <c r="V46" s="21">
        <v>44861</v>
      </c>
      <c r="W46" s="48">
        <v>-3.89</v>
      </c>
      <c r="AA46" s="2"/>
      <c r="AB46" s="48">
        <f>SUM(AB29:AB45)</f>
        <v>-97.81</v>
      </c>
      <c r="AE46" t="s">
        <v>352</v>
      </c>
      <c r="AF46" s="21">
        <v>44900</v>
      </c>
      <c r="AG46" s="48">
        <v>-27.39</v>
      </c>
      <c r="AJ46" t="s">
        <v>469</v>
      </c>
      <c r="AK46" s="21">
        <v>44937</v>
      </c>
      <c r="AL46" s="48">
        <v>-43.58</v>
      </c>
      <c r="AO46" t="s">
        <v>352</v>
      </c>
      <c r="AP46" s="21">
        <v>44964</v>
      </c>
      <c r="AQ46" s="48">
        <v>-3.17</v>
      </c>
      <c r="AV46" s="48"/>
      <c r="AY46" t="s">
        <v>352</v>
      </c>
      <c r="AZ46" s="21">
        <v>45033</v>
      </c>
      <c r="BA46" s="48">
        <v>-19.43</v>
      </c>
      <c r="BD46" s="38" t="s">
        <v>959</v>
      </c>
      <c r="BE46" s="21">
        <v>45054</v>
      </c>
      <c r="BF46" s="48">
        <v>-18.98</v>
      </c>
    </row>
    <row r="47" spans="1:59" x14ac:dyDescent="0.35">
      <c r="A47" t="s">
        <v>351</v>
      </c>
      <c r="B47" s="21">
        <v>44726</v>
      </c>
      <c r="C47" s="48">
        <v>-12.3</v>
      </c>
      <c r="F47" t="s">
        <v>351</v>
      </c>
      <c r="G47" s="21">
        <v>44763</v>
      </c>
      <c r="H47" s="48">
        <v>-4.21</v>
      </c>
      <c r="K47" t="s">
        <v>352</v>
      </c>
      <c r="L47" s="21">
        <v>44793</v>
      </c>
      <c r="M47" s="48">
        <v>-26.5</v>
      </c>
      <c r="Q47" s="2"/>
      <c r="R47" s="48">
        <f>SUM(R29:R46)</f>
        <v>-117.32000000000004</v>
      </c>
      <c r="U47" t="s">
        <v>351</v>
      </c>
      <c r="V47" s="21">
        <v>44861</v>
      </c>
      <c r="W47" s="48">
        <v>-8.4</v>
      </c>
      <c r="AE47" t="s">
        <v>355</v>
      </c>
      <c r="AF47" s="21">
        <v>44917</v>
      </c>
      <c r="AG47" s="48">
        <v>-31.67</v>
      </c>
      <c r="AJ47" t="s">
        <v>352</v>
      </c>
      <c r="AK47" s="21">
        <v>44942</v>
      </c>
      <c r="AL47" s="48">
        <v>-19.98</v>
      </c>
      <c r="AO47" t="s">
        <v>352</v>
      </c>
      <c r="AP47" s="21">
        <v>44964</v>
      </c>
      <c r="AQ47" s="48">
        <v>-14.82</v>
      </c>
      <c r="AT47" s="52" t="s">
        <v>328</v>
      </c>
      <c r="AU47" s="53" t="s">
        <v>340</v>
      </c>
      <c r="AV47" s="53" t="s">
        <v>342</v>
      </c>
      <c r="AW47" s="53" t="s">
        <v>343</v>
      </c>
      <c r="AY47" t="s">
        <v>352</v>
      </c>
      <c r="AZ47" s="21">
        <v>45043</v>
      </c>
      <c r="BA47" s="48">
        <v>-53.54</v>
      </c>
      <c r="BD47" s="38" t="s">
        <v>966</v>
      </c>
      <c r="BE47" s="21">
        <v>45062</v>
      </c>
      <c r="BF47" s="48">
        <v>-28.96</v>
      </c>
    </row>
    <row r="48" spans="1:59" ht="15" thickBot="1" x14ac:dyDescent="0.4">
      <c r="A48" t="s">
        <v>351</v>
      </c>
      <c r="B48" s="21">
        <v>44726</v>
      </c>
      <c r="C48" s="48">
        <v>-4.8099999999999996</v>
      </c>
      <c r="F48" t="s">
        <v>351</v>
      </c>
      <c r="G48" s="21">
        <v>44764</v>
      </c>
      <c r="H48" s="48">
        <v>-13.17</v>
      </c>
      <c r="K48" t="s">
        <v>352</v>
      </c>
      <c r="L48" s="21">
        <v>44796</v>
      </c>
      <c r="M48" s="48">
        <v>-13.6</v>
      </c>
      <c r="U48" t="s">
        <v>351</v>
      </c>
      <c r="V48" s="21">
        <v>44862</v>
      </c>
      <c r="W48" s="48">
        <v>-3.37</v>
      </c>
      <c r="AE48" t="s">
        <v>352</v>
      </c>
      <c r="AF48" s="21">
        <v>44926</v>
      </c>
      <c r="AG48" s="49">
        <v>-39.54</v>
      </c>
      <c r="AJ48" t="s">
        <v>352</v>
      </c>
      <c r="AK48" s="21">
        <v>44948</v>
      </c>
      <c r="AL48" s="48">
        <v>-10.96</v>
      </c>
      <c r="AO48" t="s">
        <v>352</v>
      </c>
      <c r="AP48" s="21">
        <v>44970</v>
      </c>
      <c r="AQ48" s="48">
        <v>-19.64</v>
      </c>
      <c r="AT48" t="s">
        <v>354</v>
      </c>
      <c r="AU48" s="21">
        <v>44988</v>
      </c>
      <c r="AV48" s="48">
        <v>-17.78</v>
      </c>
      <c r="AW48" t="s">
        <v>560</v>
      </c>
      <c r="AY48" t="s">
        <v>352</v>
      </c>
      <c r="AZ48" s="21">
        <v>45046</v>
      </c>
      <c r="BA48" s="48">
        <v>-10.15</v>
      </c>
      <c r="BD48" s="38" t="s">
        <v>352</v>
      </c>
      <c r="BE48" s="21">
        <v>45071</v>
      </c>
      <c r="BF48" s="48">
        <v>-134.79</v>
      </c>
    </row>
    <row r="49" spans="1:59" ht="15" thickBot="1" x14ac:dyDescent="0.4">
      <c r="A49" t="s">
        <v>351</v>
      </c>
      <c r="B49" s="21">
        <v>44728</v>
      </c>
      <c r="C49" s="48">
        <v>-3.15</v>
      </c>
      <c r="F49" t="s">
        <v>351</v>
      </c>
      <c r="G49" s="21">
        <v>44765</v>
      </c>
      <c r="H49" s="48">
        <v>-10.92</v>
      </c>
      <c r="K49" t="s">
        <v>355</v>
      </c>
      <c r="L49" s="21">
        <v>44788</v>
      </c>
      <c r="M49" s="48">
        <v>-10</v>
      </c>
      <c r="U49" t="s">
        <v>351</v>
      </c>
      <c r="V49" s="21">
        <v>44862</v>
      </c>
      <c r="W49" s="48">
        <v>-4.7300000000000004</v>
      </c>
      <c r="Z49" s="52" t="s">
        <v>328</v>
      </c>
      <c r="AA49" s="53" t="s">
        <v>340</v>
      </c>
      <c r="AB49" s="53" t="s">
        <v>342</v>
      </c>
      <c r="AC49" s="53" t="s">
        <v>343</v>
      </c>
      <c r="AG49" s="48">
        <f>SUM(AG46:AG48)</f>
        <v>-98.6</v>
      </c>
      <c r="AJ49" t="s">
        <v>352</v>
      </c>
      <c r="AK49" s="21">
        <v>44957</v>
      </c>
      <c r="AL49" s="49">
        <v>-52.15</v>
      </c>
      <c r="AO49" t="s">
        <v>352</v>
      </c>
      <c r="AP49" s="21">
        <v>44977</v>
      </c>
      <c r="AQ49" s="48">
        <v>-16.12</v>
      </c>
      <c r="AT49" t="s">
        <v>466</v>
      </c>
      <c r="AU49" s="21">
        <v>44990</v>
      </c>
      <c r="AV49" s="48">
        <v>-82.39</v>
      </c>
      <c r="AW49" t="s">
        <v>560</v>
      </c>
      <c r="AZ49" s="2"/>
      <c r="BA49" s="55">
        <f>SUM(BA40:BA48)</f>
        <v>-184.70999999999998</v>
      </c>
      <c r="BE49" s="2"/>
      <c r="BF49" s="55">
        <f>SUM(BF44:BF48)</f>
        <v>-214.22</v>
      </c>
    </row>
    <row r="50" spans="1:59" ht="15" thickBot="1" x14ac:dyDescent="0.4">
      <c r="A50" t="s">
        <v>351</v>
      </c>
      <c r="B50" s="21">
        <v>44728</v>
      </c>
      <c r="C50" s="48">
        <v>-4.8099999999999996</v>
      </c>
      <c r="F50" t="s">
        <v>351</v>
      </c>
      <c r="G50" s="21">
        <v>44766</v>
      </c>
      <c r="H50" s="48">
        <v>-9.5</v>
      </c>
      <c r="K50" t="s">
        <v>352</v>
      </c>
      <c r="L50" s="21">
        <v>44797</v>
      </c>
      <c r="M50" s="49">
        <v>-9.08</v>
      </c>
      <c r="P50" s="50" t="s">
        <v>328</v>
      </c>
      <c r="Q50" s="51" t="s">
        <v>340</v>
      </c>
      <c r="R50" s="53" t="s">
        <v>342</v>
      </c>
      <c r="S50" s="51" t="s">
        <v>343</v>
      </c>
      <c r="U50" t="s">
        <v>351</v>
      </c>
      <c r="V50" s="21">
        <v>44863</v>
      </c>
      <c r="W50" s="49">
        <v>-11.55</v>
      </c>
      <c r="Z50" t="s">
        <v>352</v>
      </c>
      <c r="AA50" s="21">
        <v>44866</v>
      </c>
      <c r="AB50" s="48">
        <v>-22.87</v>
      </c>
      <c r="AL50" s="48">
        <f>SUM(AL43:AL49)</f>
        <v>-172.11</v>
      </c>
      <c r="AO50" t="s">
        <v>352</v>
      </c>
      <c r="AP50" s="21">
        <v>44984</v>
      </c>
      <c r="AQ50" s="49">
        <v>-10.63</v>
      </c>
      <c r="AT50" t="s">
        <v>569</v>
      </c>
      <c r="AU50" s="21">
        <v>44991</v>
      </c>
      <c r="AV50" s="48">
        <v>-11.9</v>
      </c>
      <c r="AW50" t="s">
        <v>560</v>
      </c>
      <c r="BA50" s="48"/>
      <c r="BF50" s="48"/>
    </row>
    <row r="51" spans="1:59" x14ac:dyDescent="0.35">
      <c r="A51" t="s">
        <v>351</v>
      </c>
      <c r="B51" s="21">
        <v>44729</v>
      </c>
      <c r="C51" s="48">
        <v>-6.31</v>
      </c>
      <c r="F51" t="s">
        <v>351</v>
      </c>
      <c r="G51" s="21">
        <v>44767</v>
      </c>
      <c r="H51" s="48">
        <v>-13</v>
      </c>
      <c r="L51" s="2"/>
      <c r="M51" s="48">
        <f>SUM(M45:M50)</f>
        <v>-98.249999999999986</v>
      </c>
      <c r="P51" t="s">
        <v>352</v>
      </c>
      <c r="Q51" s="21">
        <v>44809</v>
      </c>
      <c r="R51" s="48">
        <v>-13.19</v>
      </c>
      <c r="V51" s="2"/>
      <c r="W51" s="48">
        <f>SUM(W27:W50)</f>
        <v>-168.24</v>
      </c>
      <c r="Z51" t="s">
        <v>352</v>
      </c>
      <c r="AA51" s="21">
        <v>44874</v>
      </c>
      <c r="AB51" s="48">
        <v>-17.920000000000002</v>
      </c>
      <c r="AQ51" s="48">
        <f>SUM(AQ44:AQ50)</f>
        <v>-117.55</v>
      </c>
      <c r="AT51" t="s">
        <v>352</v>
      </c>
      <c r="AU51" s="21">
        <v>44991</v>
      </c>
      <c r="AV51" s="48">
        <v>-3.37</v>
      </c>
      <c r="BA51" s="48"/>
      <c r="BF51" s="48"/>
    </row>
    <row r="52" spans="1:59" ht="15" thickBot="1" x14ac:dyDescent="0.4">
      <c r="A52" t="s">
        <v>351</v>
      </c>
      <c r="B52" s="21">
        <v>44730</v>
      </c>
      <c r="C52" s="48">
        <v>-6.31</v>
      </c>
      <c r="F52" t="s">
        <v>351</v>
      </c>
      <c r="G52" s="21">
        <v>44770</v>
      </c>
      <c r="H52" s="48">
        <v>-9.7799999999999994</v>
      </c>
      <c r="P52" t="s">
        <v>352</v>
      </c>
      <c r="Q52" s="21">
        <v>44812</v>
      </c>
      <c r="R52" s="48">
        <v>-13.13</v>
      </c>
      <c r="S52" t="s">
        <v>356</v>
      </c>
      <c r="Z52" t="s">
        <v>352</v>
      </c>
      <c r="AA52" s="21">
        <v>44882</v>
      </c>
      <c r="AB52" s="49">
        <v>-14.43</v>
      </c>
      <c r="AE52" s="52" t="s">
        <v>369</v>
      </c>
      <c r="AF52" s="53" t="s">
        <v>340</v>
      </c>
      <c r="AG52" s="53" t="s">
        <v>342</v>
      </c>
      <c r="AH52" s="53" t="s">
        <v>343</v>
      </c>
      <c r="AT52" t="s">
        <v>863</v>
      </c>
      <c r="AU52" s="21">
        <v>45003</v>
      </c>
      <c r="AV52" s="48">
        <v>-84.39</v>
      </c>
      <c r="AY52" s="52" t="s">
        <v>369</v>
      </c>
      <c r="AZ52" s="53" t="s">
        <v>340</v>
      </c>
      <c r="BA52" s="53" t="s">
        <v>342</v>
      </c>
      <c r="BB52" s="53" t="s">
        <v>343</v>
      </c>
      <c r="BD52" s="156" t="s">
        <v>369</v>
      </c>
      <c r="BE52" s="53" t="s">
        <v>340</v>
      </c>
      <c r="BF52" s="53" t="s">
        <v>342</v>
      </c>
      <c r="BG52" s="53" t="s">
        <v>343</v>
      </c>
    </row>
    <row r="53" spans="1:59" x14ac:dyDescent="0.35">
      <c r="A53" t="s">
        <v>351</v>
      </c>
      <c r="B53" s="21">
        <v>44730</v>
      </c>
      <c r="C53" s="48">
        <v>-1.99</v>
      </c>
      <c r="F53" t="s">
        <v>351</v>
      </c>
      <c r="G53" s="21">
        <v>44771</v>
      </c>
      <c r="H53" s="48">
        <v>-3.37</v>
      </c>
      <c r="P53" t="s">
        <v>352</v>
      </c>
      <c r="Q53" s="21">
        <v>44817</v>
      </c>
      <c r="R53" s="48">
        <v>-27.43</v>
      </c>
      <c r="AA53" s="2"/>
      <c r="AB53" s="48">
        <f>SUM(AB50:AB52)</f>
        <v>-55.220000000000006</v>
      </c>
      <c r="AE53" t="s">
        <v>389</v>
      </c>
      <c r="AF53" s="21">
        <v>44896</v>
      </c>
      <c r="AG53" s="48">
        <v>-7.51</v>
      </c>
      <c r="AJ53" s="52" t="s">
        <v>369</v>
      </c>
      <c r="AK53" s="53" t="s">
        <v>340</v>
      </c>
      <c r="AL53" s="53" t="s">
        <v>342</v>
      </c>
      <c r="AM53" s="53" t="s">
        <v>343</v>
      </c>
      <c r="AT53" t="s">
        <v>352</v>
      </c>
      <c r="AU53" s="21">
        <v>45003</v>
      </c>
      <c r="AV53" s="48">
        <v>-69.47</v>
      </c>
      <c r="AY53" t="s">
        <v>390</v>
      </c>
      <c r="AZ53" s="21">
        <v>45019</v>
      </c>
      <c r="BA53" s="48">
        <v>-7.75</v>
      </c>
      <c r="BD53" s="38" t="s">
        <v>958</v>
      </c>
      <c r="BE53" s="21">
        <v>45049</v>
      </c>
      <c r="BF53" s="48">
        <v>23</v>
      </c>
    </row>
    <row r="54" spans="1:59" x14ac:dyDescent="0.35">
      <c r="A54" t="s">
        <v>351</v>
      </c>
      <c r="B54" s="21">
        <v>44731</v>
      </c>
      <c r="C54" s="48">
        <v>-4.21</v>
      </c>
      <c r="F54" t="s">
        <v>351</v>
      </c>
      <c r="G54" s="21">
        <v>44771</v>
      </c>
      <c r="H54" s="48">
        <v>-6.9</v>
      </c>
      <c r="K54" s="50" t="s">
        <v>369</v>
      </c>
      <c r="L54" s="51" t="s">
        <v>340</v>
      </c>
      <c r="M54" s="53" t="s">
        <v>342</v>
      </c>
      <c r="N54" s="51" t="s">
        <v>343</v>
      </c>
      <c r="P54" t="s">
        <v>352</v>
      </c>
      <c r="Q54" s="21">
        <v>44819</v>
      </c>
      <c r="R54" s="48">
        <v>-19</v>
      </c>
      <c r="U54" s="50" t="s">
        <v>328</v>
      </c>
      <c r="V54" s="51" t="s">
        <v>340</v>
      </c>
      <c r="W54" s="53" t="s">
        <v>342</v>
      </c>
      <c r="X54" s="51" t="s">
        <v>343</v>
      </c>
      <c r="AE54" t="s">
        <v>372</v>
      </c>
      <c r="AF54" s="21">
        <v>44897</v>
      </c>
      <c r="AG54" s="48">
        <v>-13</v>
      </c>
      <c r="AJ54" t="s">
        <v>482</v>
      </c>
      <c r="AK54" s="21">
        <v>44927</v>
      </c>
      <c r="AL54" s="48">
        <v>-50.72</v>
      </c>
      <c r="AM54" t="s">
        <v>483</v>
      </c>
      <c r="AO54" s="52" t="s">
        <v>369</v>
      </c>
      <c r="AP54" s="53" t="s">
        <v>340</v>
      </c>
      <c r="AQ54" s="53" t="s">
        <v>342</v>
      </c>
      <c r="AR54" s="53" t="s">
        <v>343</v>
      </c>
      <c r="AT54" t="s">
        <v>863</v>
      </c>
      <c r="AU54" s="21">
        <v>45005</v>
      </c>
      <c r="AV54" s="48">
        <v>-79.11</v>
      </c>
      <c r="AY54" t="s">
        <v>873</v>
      </c>
      <c r="AZ54" s="21">
        <v>45025</v>
      </c>
      <c r="BA54" s="48">
        <v>-11.34</v>
      </c>
      <c r="BD54" s="38" t="s">
        <v>570</v>
      </c>
      <c r="BE54" s="21">
        <v>45049</v>
      </c>
      <c r="BF54" s="48">
        <v>19.399999999999999</v>
      </c>
    </row>
    <row r="55" spans="1:59" ht="15" thickBot="1" x14ac:dyDescent="0.4">
      <c r="A55" t="s">
        <v>351</v>
      </c>
      <c r="B55" s="21">
        <v>44732</v>
      </c>
      <c r="C55" s="48">
        <v>-7.36</v>
      </c>
      <c r="F55" t="s">
        <v>362</v>
      </c>
      <c r="G55" s="21">
        <v>44772</v>
      </c>
      <c r="H55" s="49">
        <v>-7.3</v>
      </c>
      <c r="K55" t="s">
        <v>372</v>
      </c>
      <c r="L55" s="21">
        <v>44775</v>
      </c>
      <c r="M55" s="48">
        <v>-6.5</v>
      </c>
      <c r="P55" t="s">
        <v>352</v>
      </c>
      <c r="Q55" s="21">
        <v>44824</v>
      </c>
      <c r="R55" s="48">
        <v>-10.83</v>
      </c>
      <c r="U55" t="s">
        <v>352</v>
      </c>
      <c r="V55" s="21">
        <v>44839</v>
      </c>
      <c r="W55" s="48">
        <v>-13.19</v>
      </c>
      <c r="AE55" t="s">
        <v>372</v>
      </c>
      <c r="AF55" s="21">
        <v>44899</v>
      </c>
      <c r="AG55" s="48">
        <v>-6.32</v>
      </c>
      <c r="AJ55" t="s">
        <v>482</v>
      </c>
      <c r="AK55" s="21">
        <v>44927</v>
      </c>
      <c r="AL55" s="48">
        <v>-15.39</v>
      </c>
      <c r="AM55" t="s">
        <v>483</v>
      </c>
      <c r="AO55" t="s">
        <v>372</v>
      </c>
      <c r="AP55" s="21">
        <v>44958</v>
      </c>
      <c r="AQ55" s="48">
        <v>-5.95</v>
      </c>
      <c r="AT55" t="s">
        <v>467</v>
      </c>
      <c r="AU55" s="21">
        <v>45005</v>
      </c>
      <c r="AV55" s="48">
        <v>-27.42</v>
      </c>
      <c r="AY55" t="s">
        <v>390</v>
      </c>
      <c r="AZ55" s="21">
        <v>45029</v>
      </c>
      <c r="BA55" s="48">
        <v>-7.75</v>
      </c>
      <c r="BD55" s="38" t="s">
        <v>570</v>
      </c>
      <c r="BE55" s="21">
        <v>45049</v>
      </c>
      <c r="BF55" s="48">
        <v>25.84</v>
      </c>
    </row>
    <row r="56" spans="1:59" x14ac:dyDescent="0.35">
      <c r="A56" t="s">
        <v>351</v>
      </c>
      <c r="B56" s="21">
        <v>44733</v>
      </c>
      <c r="C56" s="48">
        <v>-3.15</v>
      </c>
      <c r="G56" s="2"/>
      <c r="H56" s="48">
        <f>SUM(H29:H55)</f>
        <v>-211.29</v>
      </c>
      <c r="K56" t="s">
        <v>372</v>
      </c>
      <c r="L56" s="21">
        <v>44778</v>
      </c>
      <c r="M56" s="48">
        <v>-15.06</v>
      </c>
      <c r="P56" t="s">
        <v>352</v>
      </c>
      <c r="Q56" s="21">
        <v>44828</v>
      </c>
      <c r="R56" s="48">
        <v>-21.73</v>
      </c>
      <c r="U56" t="s">
        <v>352</v>
      </c>
      <c r="V56" s="21">
        <v>44845</v>
      </c>
      <c r="W56" s="48">
        <v>-19.100000000000001</v>
      </c>
      <c r="Z56" s="52" t="s">
        <v>369</v>
      </c>
      <c r="AA56" s="53" t="s">
        <v>340</v>
      </c>
      <c r="AB56" s="53" t="s">
        <v>342</v>
      </c>
      <c r="AC56" s="53" t="s">
        <v>343</v>
      </c>
      <c r="AE56" t="s">
        <v>389</v>
      </c>
      <c r="AF56" s="21">
        <v>44902</v>
      </c>
      <c r="AG56" s="48">
        <v>-7.51</v>
      </c>
      <c r="AJ56" t="s">
        <v>484</v>
      </c>
      <c r="AK56" s="21">
        <v>44928</v>
      </c>
      <c r="AL56" s="48">
        <v>-28.76</v>
      </c>
      <c r="AM56" t="s">
        <v>483</v>
      </c>
      <c r="AO56" t="s">
        <v>390</v>
      </c>
      <c r="AP56" s="21">
        <v>44959</v>
      </c>
      <c r="AQ56" s="48">
        <v>-6.74</v>
      </c>
      <c r="AT56" t="s">
        <v>352</v>
      </c>
      <c r="AU56" s="21">
        <v>45014</v>
      </c>
      <c r="AV56" s="48">
        <v>-40.01</v>
      </c>
      <c r="AY56" t="s">
        <v>875</v>
      </c>
      <c r="AZ56" s="21">
        <v>45030</v>
      </c>
      <c r="BA56" s="48">
        <v>-45.3</v>
      </c>
      <c r="BD56" s="38" t="s">
        <v>390</v>
      </c>
      <c r="BE56" s="21">
        <v>45050</v>
      </c>
      <c r="BF56" s="48">
        <v>-7.75</v>
      </c>
    </row>
    <row r="57" spans="1:59" ht="15" thickBot="1" x14ac:dyDescent="0.4">
      <c r="A57" t="s">
        <v>351</v>
      </c>
      <c r="B57" s="21">
        <v>44733</v>
      </c>
      <c r="C57" s="48">
        <v>-13.09</v>
      </c>
      <c r="K57" t="s">
        <v>375</v>
      </c>
      <c r="L57" s="21">
        <v>44779</v>
      </c>
      <c r="M57" s="48">
        <v>-118.42</v>
      </c>
      <c r="N57" t="s">
        <v>376</v>
      </c>
      <c r="P57" t="s">
        <v>352</v>
      </c>
      <c r="Q57" s="21">
        <v>44832</v>
      </c>
      <c r="R57" s="49">
        <v>-17.079999999999998</v>
      </c>
      <c r="U57" t="s">
        <v>354</v>
      </c>
      <c r="V57" s="21">
        <v>44848</v>
      </c>
      <c r="W57" s="48">
        <v>-18.260000000000002</v>
      </c>
      <c r="X57" t="s">
        <v>398</v>
      </c>
      <c r="Z57" t="s">
        <v>389</v>
      </c>
      <c r="AA57" s="21">
        <v>44868</v>
      </c>
      <c r="AB57" s="48">
        <v>-6.53</v>
      </c>
      <c r="AE57" t="s">
        <v>389</v>
      </c>
      <c r="AF57" s="21">
        <v>44903</v>
      </c>
      <c r="AG57" s="48">
        <v>-6.53</v>
      </c>
      <c r="AJ57" t="s">
        <v>487</v>
      </c>
      <c r="AK57" s="21">
        <v>44930</v>
      </c>
      <c r="AL57" s="48">
        <v>-27.34</v>
      </c>
      <c r="AM57" t="s">
        <v>483</v>
      </c>
      <c r="AO57" t="s">
        <v>372</v>
      </c>
      <c r="AP57" s="21">
        <v>44959</v>
      </c>
      <c r="AQ57" s="48">
        <v>-58.39</v>
      </c>
      <c r="AR57" t="s">
        <v>479</v>
      </c>
      <c r="AT57" t="s">
        <v>352</v>
      </c>
      <c r="AU57" s="21">
        <v>45015</v>
      </c>
      <c r="AV57" s="48">
        <v>-20.91</v>
      </c>
      <c r="AY57" t="s">
        <v>491</v>
      </c>
      <c r="AZ57" s="21">
        <v>45045</v>
      </c>
      <c r="BA57" s="48">
        <v>-6.68</v>
      </c>
      <c r="BB57" t="s">
        <v>930</v>
      </c>
      <c r="BD57" s="38" t="s">
        <v>960</v>
      </c>
      <c r="BE57" s="21">
        <v>45148</v>
      </c>
      <c r="BF57" s="48">
        <v>-4.53</v>
      </c>
    </row>
    <row r="58" spans="1:59" ht="15" thickBot="1" x14ac:dyDescent="0.4">
      <c r="A58" t="s">
        <v>351</v>
      </c>
      <c r="B58" s="21">
        <v>44734</v>
      </c>
      <c r="C58" s="48">
        <v>-5.78</v>
      </c>
      <c r="K58" t="s">
        <v>380</v>
      </c>
      <c r="L58" s="21">
        <v>44785</v>
      </c>
      <c r="M58" s="48">
        <v>-42</v>
      </c>
      <c r="Q58" s="2"/>
      <c r="R58" s="48">
        <f>SUM(R51:R57)</f>
        <v>-122.39</v>
      </c>
      <c r="U58" t="s">
        <v>352</v>
      </c>
      <c r="V58" s="21">
        <v>44858</v>
      </c>
      <c r="W58" s="49">
        <v>-27.89</v>
      </c>
      <c r="Z58" t="s">
        <v>372</v>
      </c>
      <c r="AA58" s="21">
        <v>44869</v>
      </c>
      <c r="AB58" s="48">
        <v>-18.239999999999998</v>
      </c>
      <c r="AE58" t="s">
        <v>372</v>
      </c>
      <c r="AF58" s="21">
        <v>44904</v>
      </c>
      <c r="AG58" s="48">
        <v>-13</v>
      </c>
      <c r="AJ58" t="s">
        <v>412</v>
      </c>
      <c r="AK58" s="21">
        <v>44931</v>
      </c>
      <c r="AL58" s="48">
        <v>-60</v>
      </c>
      <c r="AM58" t="s">
        <v>483</v>
      </c>
      <c r="AO58" t="s">
        <v>372</v>
      </c>
      <c r="AP58" s="21">
        <v>44961</v>
      </c>
      <c r="AQ58" s="48">
        <v>-28.51</v>
      </c>
      <c r="AU58" s="2"/>
      <c r="AV58" s="55">
        <f>SUM(AV48:AV57)</f>
        <v>-436.75000000000006</v>
      </c>
      <c r="AY58" t="s">
        <v>491</v>
      </c>
      <c r="AZ58" s="21">
        <v>45045</v>
      </c>
      <c r="BA58" s="48">
        <v>-6.24</v>
      </c>
      <c r="BD58" s="38" t="s">
        <v>570</v>
      </c>
      <c r="BE58" s="21">
        <v>45148</v>
      </c>
      <c r="BF58" s="48">
        <v>-50.63</v>
      </c>
    </row>
    <row r="59" spans="1:59" x14ac:dyDescent="0.35">
      <c r="A59" t="s">
        <v>351</v>
      </c>
      <c r="B59" s="21">
        <v>44734</v>
      </c>
      <c r="C59" s="48">
        <v>-4.88</v>
      </c>
      <c r="F59" s="50" t="s">
        <v>328</v>
      </c>
      <c r="G59" s="51" t="s">
        <v>340</v>
      </c>
      <c r="H59" s="53" t="s">
        <v>342</v>
      </c>
      <c r="I59" s="51" t="s">
        <v>343</v>
      </c>
      <c r="K59" t="s">
        <v>381</v>
      </c>
      <c r="L59" s="21">
        <v>44785</v>
      </c>
      <c r="M59" s="48">
        <v>-26.52</v>
      </c>
      <c r="V59" s="2"/>
      <c r="W59" s="48">
        <f>SUM(W55:W58)</f>
        <v>-78.44</v>
      </c>
      <c r="Z59" t="s">
        <v>491</v>
      </c>
      <c r="AA59" s="21">
        <v>44870</v>
      </c>
      <c r="AB59" s="48">
        <v>-11.36</v>
      </c>
      <c r="AE59" t="s">
        <v>486</v>
      </c>
      <c r="AF59" s="21">
        <v>44907</v>
      </c>
      <c r="AG59" s="48">
        <v>-54.33</v>
      </c>
      <c r="AH59" t="s">
        <v>376</v>
      </c>
      <c r="AJ59" t="s">
        <v>490</v>
      </c>
      <c r="AK59" s="21">
        <v>44932</v>
      </c>
      <c r="AL59" s="48">
        <v>-48.47</v>
      </c>
      <c r="AM59" t="s">
        <v>483</v>
      </c>
      <c r="AO59" t="s">
        <v>390</v>
      </c>
      <c r="AP59" s="21">
        <v>44962</v>
      </c>
      <c r="AQ59" s="48">
        <v>-6.74</v>
      </c>
      <c r="AV59" s="48"/>
      <c r="AZ59" s="2"/>
      <c r="BA59" s="55">
        <f>SUM(BA53:BA58)</f>
        <v>-85.059999999999988</v>
      </c>
      <c r="BD59" s="38" t="s">
        <v>961</v>
      </c>
      <c r="BE59" s="21">
        <v>45151</v>
      </c>
      <c r="BF59" s="48">
        <v>-49.34</v>
      </c>
    </row>
    <row r="60" spans="1:59" x14ac:dyDescent="0.35">
      <c r="A60" t="s">
        <v>351</v>
      </c>
      <c r="B60" s="21">
        <v>44737</v>
      </c>
      <c r="C60" s="48">
        <v>-3.89</v>
      </c>
      <c r="F60" t="s">
        <v>352</v>
      </c>
      <c r="G60" s="21">
        <v>44755</v>
      </c>
      <c r="H60" s="48">
        <v>-4.8099999999999996</v>
      </c>
      <c r="K60" t="s">
        <v>372</v>
      </c>
      <c r="L60" s="21">
        <v>44789</v>
      </c>
      <c r="M60" s="48">
        <v>-7.04</v>
      </c>
      <c r="Z60" t="s">
        <v>372</v>
      </c>
      <c r="AA60" s="21">
        <v>44871</v>
      </c>
      <c r="AB60" s="48">
        <v>-6.5</v>
      </c>
      <c r="AE60" t="s">
        <v>488</v>
      </c>
      <c r="AF60" s="21">
        <v>44909</v>
      </c>
      <c r="AG60" s="48">
        <v>42.41</v>
      </c>
      <c r="AH60" t="s">
        <v>489</v>
      </c>
      <c r="AJ60" t="s">
        <v>412</v>
      </c>
      <c r="AK60" s="21">
        <v>44932</v>
      </c>
      <c r="AL60" s="48">
        <v>-14.16</v>
      </c>
      <c r="AM60" t="s">
        <v>483</v>
      </c>
      <c r="AO60" t="s">
        <v>372</v>
      </c>
      <c r="AP60" s="21">
        <v>44962</v>
      </c>
      <c r="AQ60" s="48">
        <v>-6.5</v>
      </c>
      <c r="AV60" s="48"/>
      <c r="BA60" s="48"/>
      <c r="BD60" s="38" t="s">
        <v>963</v>
      </c>
      <c r="BE60" s="21">
        <v>45061</v>
      </c>
      <c r="BF60" s="48">
        <v>-43</v>
      </c>
    </row>
    <row r="61" spans="1:59" ht="15" thickBot="1" x14ac:dyDescent="0.4">
      <c r="A61" t="s">
        <v>351</v>
      </c>
      <c r="B61" s="21">
        <v>44740</v>
      </c>
      <c r="C61" s="49">
        <v>-2.62</v>
      </c>
      <c r="F61" t="s">
        <v>352</v>
      </c>
      <c r="G61" s="21">
        <v>44761</v>
      </c>
      <c r="H61" s="48">
        <v>-33.11</v>
      </c>
      <c r="K61" t="s">
        <v>372</v>
      </c>
      <c r="L61" s="21">
        <v>44790</v>
      </c>
      <c r="M61" s="48">
        <v>-6.85</v>
      </c>
      <c r="P61" s="50" t="s">
        <v>369</v>
      </c>
      <c r="Q61" s="51" t="s">
        <v>340</v>
      </c>
      <c r="R61" s="53" t="s">
        <v>342</v>
      </c>
      <c r="S61" s="51" t="s">
        <v>343</v>
      </c>
      <c r="Z61" t="s">
        <v>372</v>
      </c>
      <c r="AA61" s="21">
        <v>44873</v>
      </c>
      <c r="AB61" s="48">
        <v>-6.5</v>
      </c>
      <c r="AE61" t="s">
        <v>389</v>
      </c>
      <c r="AF61" s="21">
        <v>44909</v>
      </c>
      <c r="AG61" s="48">
        <v>-24.55</v>
      </c>
      <c r="AJ61" t="s">
        <v>493</v>
      </c>
      <c r="AK61" s="21">
        <v>44935</v>
      </c>
      <c r="AL61" s="48">
        <v>-3.28</v>
      </c>
      <c r="AM61" t="s">
        <v>483</v>
      </c>
      <c r="AO61" t="s">
        <v>480</v>
      </c>
      <c r="AP61" s="21">
        <v>44966</v>
      </c>
      <c r="AQ61" s="48">
        <v>-33</v>
      </c>
      <c r="AR61" t="s">
        <v>481</v>
      </c>
      <c r="AT61" s="52" t="s">
        <v>369</v>
      </c>
      <c r="AU61" s="53" t="s">
        <v>340</v>
      </c>
      <c r="AV61" s="53" t="s">
        <v>342</v>
      </c>
      <c r="AW61" s="53" t="s">
        <v>343</v>
      </c>
      <c r="BA61" s="48"/>
      <c r="BD61" s="38" t="s">
        <v>964</v>
      </c>
      <c r="BE61" s="21">
        <v>45061</v>
      </c>
      <c r="BF61" s="48">
        <v>-5.39</v>
      </c>
    </row>
    <row r="62" spans="1:59" ht="15" thickBot="1" x14ac:dyDescent="0.4">
      <c r="B62" s="2"/>
      <c r="C62" s="48">
        <f>SUM(C39:C61)</f>
        <v>-131.18</v>
      </c>
      <c r="F62" t="s">
        <v>353</v>
      </c>
      <c r="G62" s="21">
        <v>44762</v>
      </c>
      <c r="H62" s="49">
        <v>-10.87</v>
      </c>
      <c r="K62" t="s">
        <v>372</v>
      </c>
      <c r="L62" s="21">
        <v>44791</v>
      </c>
      <c r="M62" s="48">
        <v>-4.33</v>
      </c>
      <c r="P62" t="s">
        <v>372</v>
      </c>
      <c r="Q62" s="21">
        <v>44805</v>
      </c>
      <c r="R62" s="48">
        <v>-7.04</v>
      </c>
      <c r="U62" s="50" t="s">
        <v>369</v>
      </c>
      <c r="V62" s="51" t="s">
        <v>340</v>
      </c>
      <c r="W62" s="53" t="s">
        <v>342</v>
      </c>
      <c r="X62" s="51" t="s">
        <v>343</v>
      </c>
      <c r="Z62" t="s">
        <v>372</v>
      </c>
      <c r="AA62" s="21">
        <v>44878</v>
      </c>
      <c r="AB62" s="48">
        <v>-6.5</v>
      </c>
      <c r="AE62" t="s">
        <v>372</v>
      </c>
      <c r="AF62" s="21">
        <v>44911</v>
      </c>
      <c r="AG62" s="48">
        <v>-6.5</v>
      </c>
      <c r="AJ62" t="s">
        <v>495</v>
      </c>
      <c r="AK62" s="21">
        <v>44937</v>
      </c>
      <c r="AL62" s="48">
        <v>-114.6</v>
      </c>
      <c r="AM62" t="s">
        <v>483</v>
      </c>
      <c r="AO62" t="s">
        <v>390</v>
      </c>
      <c r="AP62" s="21">
        <v>44966</v>
      </c>
      <c r="AQ62" s="48">
        <v>-8.36</v>
      </c>
      <c r="AT62" t="s">
        <v>562</v>
      </c>
      <c r="AU62" s="21">
        <v>44986</v>
      </c>
      <c r="AV62" s="48">
        <v>-20</v>
      </c>
      <c r="AW62" t="s">
        <v>560</v>
      </c>
      <c r="AY62" s="52" t="s">
        <v>333</v>
      </c>
      <c r="AZ62" s="53" t="s">
        <v>340</v>
      </c>
      <c r="BA62" s="53" t="s">
        <v>342</v>
      </c>
      <c r="BB62" s="53" t="s">
        <v>343</v>
      </c>
      <c r="BD62" s="38" t="s">
        <v>965</v>
      </c>
      <c r="BE62" s="21">
        <v>45061</v>
      </c>
      <c r="BF62" s="48">
        <v>-95.81</v>
      </c>
    </row>
    <row r="63" spans="1:59" x14ac:dyDescent="0.35">
      <c r="G63" s="2"/>
      <c r="H63" s="48">
        <f>SUM(H60:H62)</f>
        <v>-48.79</v>
      </c>
      <c r="K63" t="s">
        <v>389</v>
      </c>
      <c r="L63" s="21">
        <v>44732</v>
      </c>
      <c r="M63" s="48">
        <v>-11.5</v>
      </c>
      <c r="N63" t="s">
        <v>356</v>
      </c>
      <c r="P63" t="s">
        <v>396</v>
      </c>
      <c r="Q63" s="21">
        <v>44807</v>
      </c>
      <c r="R63" s="48">
        <v>-10.53</v>
      </c>
      <c r="U63" t="s">
        <v>386</v>
      </c>
      <c r="V63" s="21">
        <v>44836</v>
      </c>
      <c r="W63" s="48">
        <v>-10.81</v>
      </c>
      <c r="Z63" t="s">
        <v>389</v>
      </c>
      <c r="AA63" s="21">
        <v>44880</v>
      </c>
      <c r="AB63" s="48">
        <v>-7.51</v>
      </c>
      <c r="AE63" t="s">
        <v>492</v>
      </c>
      <c r="AF63" s="21">
        <v>44914</v>
      </c>
      <c r="AG63" s="48">
        <v>-137.88999999999999</v>
      </c>
      <c r="AH63" t="s">
        <v>376</v>
      </c>
      <c r="AJ63" t="s">
        <v>499</v>
      </c>
      <c r="AK63" s="21">
        <v>44938</v>
      </c>
      <c r="AL63" s="48">
        <v>-33.380000000000003</v>
      </c>
      <c r="AM63" t="s">
        <v>483</v>
      </c>
      <c r="AO63" t="s">
        <v>390</v>
      </c>
      <c r="AP63" s="21">
        <v>44973</v>
      </c>
      <c r="AQ63" s="48">
        <v>-7.75</v>
      </c>
      <c r="AT63" t="s">
        <v>401</v>
      </c>
      <c r="AU63" s="21">
        <v>44987</v>
      </c>
      <c r="AV63" s="48">
        <v>-62.5</v>
      </c>
      <c r="AW63" t="s">
        <v>560</v>
      </c>
      <c r="AY63" t="s">
        <v>876</v>
      </c>
      <c r="AZ63" s="2"/>
      <c r="BA63" s="48"/>
      <c r="BD63" s="38" t="s">
        <v>967</v>
      </c>
      <c r="BE63" s="21">
        <v>45063</v>
      </c>
      <c r="BF63" s="48">
        <v>-85</v>
      </c>
    </row>
    <row r="64" spans="1:59" x14ac:dyDescent="0.35">
      <c r="K64" t="s">
        <v>372</v>
      </c>
      <c r="L64" s="21">
        <v>44795</v>
      </c>
      <c r="M64" s="48">
        <v>-6.32</v>
      </c>
      <c r="P64" t="s">
        <v>372</v>
      </c>
      <c r="Q64" s="21">
        <v>44809</v>
      </c>
      <c r="R64" s="48">
        <v>-7.04</v>
      </c>
      <c r="U64" t="s">
        <v>372</v>
      </c>
      <c r="V64" s="21">
        <v>44838</v>
      </c>
      <c r="W64" s="48">
        <v>-24.62</v>
      </c>
      <c r="Z64" t="s">
        <v>389</v>
      </c>
      <c r="AA64" s="21">
        <v>44882</v>
      </c>
      <c r="AB64" s="48">
        <v>-7.51</v>
      </c>
      <c r="AE64" t="s">
        <v>494</v>
      </c>
      <c r="AF64" s="21">
        <v>44914</v>
      </c>
      <c r="AG64" s="48">
        <v>-32</v>
      </c>
      <c r="AH64" t="s">
        <v>376</v>
      </c>
      <c r="AJ64" t="s">
        <v>389</v>
      </c>
      <c r="AK64" s="21">
        <v>44940</v>
      </c>
      <c r="AL64" s="48">
        <v>-8.92</v>
      </c>
      <c r="AM64" t="s">
        <v>483</v>
      </c>
      <c r="AO64" t="s">
        <v>372</v>
      </c>
      <c r="AP64" s="21">
        <v>44973</v>
      </c>
      <c r="AQ64" s="48">
        <v>-26.53</v>
      </c>
      <c r="AR64" t="s">
        <v>479</v>
      </c>
      <c r="AT64" t="s">
        <v>563</v>
      </c>
      <c r="AU64" s="21">
        <v>44987</v>
      </c>
      <c r="AV64" s="48">
        <v>-25.2</v>
      </c>
      <c r="AW64" t="s">
        <v>560</v>
      </c>
      <c r="AY64" t="s">
        <v>470</v>
      </c>
      <c r="AZ64" s="21">
        <v>44986</v>
      </c>
      <c r="BA64" s="48">
        <v>-80</v>
      </c>
      <c r="BD64" s="38" t="s">
        <v>967</v>
      </c>
      <c r="BE64" s="21">
        <v>45063</v>
      </c>
      <c r="BF64" s="48">
        <v>-11</v>
      </c>
    </row>
    <row r="65" spans="1:59" x14ac:dyDescent="0.35">
      <c r="A65" s="50" t="s">
        <v>328</v>
      </c>
      <c r="B65" s="51" t="s">
        <v>340</v>
      </c>
      <c r="C65" s="51" t="s">
        <v>342</v>
      </c>
      <c r="D65" s="51" t="s">
        <v>343</v>
      </c>
      <c r="K65" t="s">
        <v>386</v>
      </c>
      <c r="L65" s="21">
        <v>44797</v>
      </c>
      <c r="M65" s="48">
        <v>-11.5</v>
      </c>
      <c r="P65" t="s">
        <v>372</v>
      </c>
      <c r="Q65" s="21">
        <v>44810</v>
      </c>
      <c r="R65" s="48">
        <v>-7.04</v>
      </c>
      <c r="S65" t="s">
        <v>356</v>
      </c>
      <c r="U65" t="s">
        <v>390</v>
      </c>
      <c r="V65" s="21">
        <v>44840</v>
      </c>
      <c r="W65" s="48">
        <v>-14.54</v>
      </c>
      <c r="Z65" t="s">
        <v>372</v>
      </c>
      <c r="AA65" s="21">
        <v>44885</v>
      </c>
      <c r="AB65" s="48">
        <v>-6.5</v>
      </c>
      <c r="AE65" t="s">
        <v>497</v>
      </c>
      <c r="AF65" s="21">
        <v>44916</v>
      </c>
      <c r="AG65" s="48">
        <v>-23</v>
      </c>
      <c r="AH65" t="s">
        <v>498</v>
      </c>
      <c r="AJ65" t="s">
        <v>482</v>
      </c>
      <c r="AK65" s="21">
        <v>44940</v>
      </c>
      <c r="AL65" s="48">
        <v>-17.72</v>
      </c>
      <c r="AM65" t="s">
        <v>483</v>
      </c>
      <c r="AO65" t="s">
        <v>485</v>
      </c>
      <c r="AP65" s="21">
        <v>44975</v>
      </c>
      <c r="AQ65" s="48">
        <v>-25</v>
      </c>
      <c r="AT65" t="s">
        <v>409</v>
      </c>
      <c r="AU65" s="21">
        <v>44987</v>
      </c>
      <c r="AV65" s="48">
        <v>-12.9</v>
      </c>
      <c r="AW65" t="s">
        <v>560</v>
      </c>
      <c r="AY65" t="s">
        <v>932</v>
      </c>
      <c r="AZ65" s="21"/>
      <c r="BA65" s="48"/>
      <c r="BD65" s="38" t="s">
        <v>968</v>
      </c>
      <c r="BE65" s="21">
        <v>45063</v>
      </c>
      <c r="BF65" s="48">
        <v>-22</v>
      </c>
    </row>
    <row r="66" spans="1:59" ht="15" thickBot="1" x14ac:dyDescent="0.4">
      <c r="A66" t="s">
        <v>352</v>
      </c>
      <c r="B66" s="21">
        <v>44719</v>
      </c>
      <c r="C66" s="48">
        <v>-11.85</v>
      </c>
      <c r="D66" t="s">
        <v>356</v>
      </c>
      <c r="F66" s="50" t="s">
        <v>369</v>
      </c>
      <c r="G66" s="51" t="s">
        <v>340</v>
      </c>
      <c r="H66" s="53" t="s">
        <v>342</v>
      </c>
      <c r="I66" s="51" t="s">
        <v>343</v>
      </c>
      <c r="K66" t="s">
        <v>372</v>
      </c>
      <c r="L66" s="21">
        <v>44799</v>
      </c>
      <c r="M66" s="48">
        <v>-7.04</v>
      </c>
      <c r="P66" t="s">
        <v>389</v>
      </c>
      <c r="Q66" s="21">
        <v>44810</v>
      </c>
      <c r="R66" s="48">
        <v>-6.9</v>
      </c>
      <c r="U66" t="s">
        <v>391</v>
      </c>
      <c r="V66" s="21">
        <v>44843</v>
      </c>
      <c r="W66" s="48">
        <v>-12.36</v>
      </c>
      <c r="Z66" t="s">
        <v>372</v>
      </c>
      <c r="AA66" s="21">
        <v>44886</v>
      </c>
      <c r="AB66" s="48">
        <v>-6.5</v>
      </c>
      <c r="AE66" t="s">
        <v>488</v>
      </c>
      <c r="AF66" s="21">
        <v>44916</v>
      </c>
      <c r="AG66" s="48">
        <v>-30.9</v>
      </c>
      <c r="AH66" t="s">
        <v>498</v>
      </c>
      <c r="AJ66" t="s">
        <v>417</v>
      </c>
      <c r="AK66" s="21">
        <v>44940</v>
      </c>
      <c r="AL66" s="48">
        <v>-6.85</v>
      </c>
      <c r="AM66" t="s">
        <v>483</v>
      </c>
      <c r="AO66" t="s">
        <v>372</v>
      </c>
      <c r="AP66" s="21">
        <v>44978</v>
      </c>
      <c r="AQ66" s="48">
        <v>-20</v>
      </c>
      <c r="AT66" t="s">
        <v>409</v>
      </c>
      <c r="AU66" s="21">
        <v>44987</v>
      </c>
      <c r="AV66" s="48">
        <v>-13.71</v>
      </c>
      <c r="AW66" t="s">
        <v>560</v>
      </c>
      <c r="AY66" t="s">
        <v>911</v>
      </c>
      <c r="AZ66" s="21"/>
      <c r="BA66" s="48">
        <v>-80</v>
      </c>
      <c r="BD66" s="38" t="s">
        <v>969</v>
      </c>
      <c r="BE66" s="21">
        <v>45065</v>
      </c>
      <c r="BF66" s="48">
        <v>-38</v>
      </c>
    </row>
    <row r="67" spans="1:59" ht="15" thickBot="1" x14ac:dyDescent="0.4">
      <c r="A67" t="s">
        <v>352</v>
      </c>
      <c r="B67" s="21">
        <v>44720</v>
      </c>
      <c r="C67" s="48">
        <v>-4.3899999999999997</v>
      </c>
      <c r="F67" t="s">
        <v>372</v>
      </c>
      <c r="G67" s="21">
        <v>44743</v>
      </c>
      <c r="H67" s="48">
        <v>-6.32</v>
      </c>
      <c r="K67" t="s">
        <v>372</v>
      </c>
      <c r="L67" s="21">
        <v>44804</v>
      </c>
      <c r="M67" s="49">
        <v>-7.04</v>
      </c>
      <c r="P67" t="s">
        <v>402</v>
      </c>
      <c r="Q67" s="21">
        <v>44811</v>
      </c>
      <c r="R67" s="48">
        <v>-13.52</v>
      </c>
      <c r="U67" t="s">
        <v>372</v>
      </c>
      <c r="V67" s="21">
        <v>44843</v>
      </c>
      <c r="W67" s="48">
        <v>-11.5</v>
      </c>
      <c r="Z67" t="s">
        <v>389</v>
      </c>
      <c r="AA67" s="21">
        <v>44888</v>
      </c>
      <c r="AB67" s="48">
        <v>-6.53</v>
      </c>
      <c r="AE67" t="s">
        <v>396</v>
      </c>
      <c r="AF67" s="21">
        <v>44917</v>
      </c>
      <c r="AG67" s="48">
        <v>-7.69</v>
      </c>
      <c r="AJ67" t="s">
        <v>389</v>
      </c>
      <c r="AK67" s="21">
        <v>44949</v>
      </c>
      <c r="AL67" s="48">
        <v>-7.75</v>
      </c>
      <c r="AO67" t="s">
        <v>390</v>
      </c>
      <c r="AP67" s="21">
        <v>44981</v>
      </c>
      <c r="AQ67" s="48">
        <v>-7.75</v>
      </c>
      <c r="AT67" t="s">
        <v>417</v>
      </c>
      <c r="AU67" s="21">
        <v>44987</v>
      </c>
      <c r="AV67" s="48">
        <v>-16.57</v>
      </c>
      <c r="AW67" t="s">
        <v>560</v>
      </c>
      <c r="AZ67" s="2"/>
      <c r="BA67" s="55">
        <f>SUM(BA63:BA66)</f>
        <v>-160</v>
      </c>
      <c r="BD67" s="38" t="s">
        <v>970</v>
      </c>
      <c r="BE67" s="21">
        <v>45065</v>
      </c>
      <c r="BF67" s="48">
        <v>-35.25</v>
      </c>
    </row>
    <row r="68" spans="1:59" x14ac:dyDescent="0.35">
      <c r="A68" t="s">
        <v>355</v>
      </c>
      <c r="B68" s="21">
        <v>44725</v>
      </c>
      <c r="C68" s="48">
        <v>-7.99</v>
      </c>
      <c r="F68" t="s">
        <v>386</v>
      </c>
      <c r="G68" s="21">
        <v>44746</v>
      </c>
      <c r="H68" s="48">
        <v>-23.16</v>
      </c>
      <c r="I68" t="s">
        <v>395</v>
      </c>
      <c r="L68" s="2"/>
      <c r="M68" s="48">
        <f>SUM(M55:M67)</f>
        <v>-270.12000000000006</v>
      </c>
      <c r="P68" t="s">
        <v>372</v>
      </c>
      <c r="Q68" s="21">
        <v>44811</v>
      </c>
      <c r="R68" s="48">
        <v>-6.85</v>
      </c>
      <c r="U68" t="s">
        <v>372</v>
      </c>
      <c r="V68" s="21">
        <v>44844</v>
      </c>
      <c r="W68" s="48">
        <v>-6.5</v>
      </c>
      <c r="Z68" t="s">
        <v>372</v>
      </c>
      <c r="AA68" s="21">
        <v>44892</v>
      </c>
      <c r="AB68" s="48">
        <v>-19.2</v>
      </c>
      <c r="AE68" t="s">
        <v>502</v>
      </c>
      <c r="AF68" s="21">
        <v>44923</v>
      </c>
      <c r="AG68" s="48">
        <v>-66.47</v>
      </c>
      <c r="AJ68" t="s">
        <v>396</v>
      </c>
      <c r="AK68" s="21">
        <v>44954</v>
      </c>
      <c r="AL68" s="48">
        <v>-11.42</v>
      </c>
      <c r="AO68" t="s">
        <v>559</v>
      </c>
      <c r="AP68" s="21">
        <v>44985</v>
      </c>
      <c r="AQ68" s="48">
        <v>-10.54</v>
      </c>
      <c r="AR68" t="s">
        <v>560</v>
      </c>
      <c r="AT68" t="s">
        <v>564</v>
      </c>
      <c r="AU68" s="21">
        <v>44987</v>
      </c>
      <c r="AV68" s="48">
        <v>-20.5</v>
      </c>
      <c r="AW68" t="s">
        <v>560</v>
      </c>
      <c r="BA68" s="48"/>
      <c r="BD68" s="38" t="s">
        <v>971</v>
      </c>
      <c r="BE68" s="21">
        <v>45067</v>
      </c>
      <c r="BF68" s="48">
        <v>-60</v>
      </c>
    </row>
    <row r="69" spans="1:59" ht="15" thickBot="1" x14ac:dyDescent="0.4">
      <c r="A69" t="s">
        <v>352</v>
      </c>
      <c r="B69" s="21">
        <v>44732</v>
      </c>
      <c r="C69" s="48">
        <v>-22.53</v>
      </c>
      <c r="F69" t="s">
        <v>372</v>
      </c>
      <c r="G69" s="21">
        <v>44748</v>
      </c>
      <c r="H69" s="48">
        <v>-6.32</v>
      </c>
      <c r="P69" t="s">
        <v>372</v>
      </c>
      <c r="Q69" s="21">
        <v>44813</v>
      </c>
      <c r="R69" s="48">
        <v>-7.04</v>
      </c>
      <c r="U69" t="s">
        <v>393</v>
      </c>
      <c r="V69" s="21">
        <v>44846</v>
      </c>
      <c r="W69" s="48">
        <v>-3.68</v>
      </c>
      <c r="X69" t="s">
        <v>394</v>
      </c>
      <c r="Z69" t="s">
        <v>372</v>
      </c>
      <c r="AA69" s="21">
        <v>44893</v>
      </c>
      <c r="AB69" s="48">
        <v>-6.5</v>
      </c>
      <c r="AE69" t="s">
        <v>494</v>
      </c>
      <c r="AF69" s="21">
        <v>44924</v>
      </c>
      <c r="AG69" s="48">
        <v>-142.06</v>
      </c>
      <c r="AH69" t="s">
        <v>376</v>
      </c>
      <c r="AJ69" t="s">
        <v>372</v>
      </c>
      <c r="AK69" s="21">
        <v>44955</v>
      </c>
      <c r="AL69" s="49">
        <v>-6.5</v>
      </c>
      <c r="AO69" t="s">
        <v>561</v>
      </c>
      <c r="AP69" s="21">
        <v>44985</v>
      </c>
      <c r="AQ69" s="49">
        <v>-28.2</v>
      </c>
      <c r="AR69" t="s">
        <v>560</v>
      </c>
      <c r="AT69" t="s">
        <v>565</v>
      </c>
      <c r="AU69" s="21">
        <v>44988</v>
      </c>
      <c r="AV69" s="48">
        <v>-131.15</v>
      </c>
      <c r="AW69" t="s">
        <v>560</v>
      </c>
      <c r="BA69" s="48"/>
      <c r="BD69" s="38" t="s">
        <v>390</v>
      </c>
      <c r="BE69" s="21">
        <v>45068</v>
      </c>
      <c r="BF69" s="48">
        <v>-14.78</v>
      </c>
    </row>
    <row r="70" spans="1:59" ht="15" thickBot="1" x14ac:dyDescent="0.4">
      <c r="A70" t="s">
        <v>352</v>
      </c>
      <c r="B70" s="21">
        <v>44738</v>
      </c>
      <c r="C70" s="49">
        <v>-14.86</v>
      </c>
      <c r="F70" t="s">
        <v>372</v>
      </c>
      <c r="G70" s="21">
        <v>44749</v>
      </c>
      <c r="H70" s="48">
        <v>-6.5</v>
      </c>
      <c r="P70" t="s">
        <v>372</v>
      </c>
      <c r="Q70" s="21">
        <v>44814</v>
      </c>
      <c r="R70" s="48">
        <v>-35</v>
      </c>
      <c r="U70" t="s">
        <v>397</v>
      </c>
      <c r="V70" s="21">
        <v>44846</v>
      </c>
      <c r="W70" s="48">
        <v>-20</v>
      </c>
      <c r="X70" t="s">
        <v>398</v>
      </c>
      <c r="Z70" t="s">
        <v>372</v>
      </c>
      <c r="AA70" s="21">
        <v>44894</v>
      </c>
      <c r="AB70" s="49">
        <v>-37.93</v>
      </c>
      <c r="AE70" t="s">
        <v>424</v>
      </c>
      <c r="AF70" s="21">
        <v>44925</v>
      </c>
      <c r="AG70" s="48">
        <v>-39</v>
      </c>
      <c r="AH70" t="s">
        <v>498</v>
      </c>
      <c r="AL70" s="48">
        <f>SUM(AL54:AL69)</f>
        <v>-455.26000000000005</v>
      </c>
      <c r="AQ70" s="48">
        <f>SUM(AQ55:AQ69)</f>
        <v>-279.95999999999998</v>
      </c>
      <c r="AT70" t="s">
        <v>567</v>
      </c>
      <c r="AU70" s="21">
        <v>44989</v>
      </c>
      <c r="AV70" s="48">
        <v>-36.5</v>
      </c>
      <c r="AW70" t="s">
        <v>560</v>
      </c>
      <c r="AY70" s="52" t="s">
        <v>335</v>
      </c>
      <c r="AZ70" s="53" t="s">
        <v>340</v>
      </c>
      <c r="BA70" s="53" t="s">
        <v>342</v>
      </c>
      <c r="BB70" s="53" t="s">
        <v>343</v>
      </c>
      <c r="BD70" s="38" t="s">
        <v>975</v>
      </c>
      <c r="BE70" s="21">
        <v>45075</v>
      </c>
      <c r="BF70" s="48">
        <v>-11.92</v>
      </c>
    </row>
    <row r="71" spans="1:59" x14ac:dyDescent="0.35">
      <c r="B71" s="2"/>
      <c r="C71" s="48">
        <f>SUM(C66:C70)</f>
        <v>-61.62</v>
      </c>
      <c r="F71" t="s">
        <v>386</v>
      </c>
      <c r="G71" s="21">
        <v>44752</v>
      </c>
      <c r="H71" s="48">
        <v>-22.76</v>
      </c>
      <c r="K71" s="50" t="s">
        <v>333</v>
      </c>
      <c r="L71" s="51" t="s">
        <v>340</v>
      </c>
      <c r="M71" s="53" t="s">
        <v>342</v>
      </c>
      <c r="N71" s="51" t="s">
        <v>343</v>
      </c>
      <c r="P71" t="s">
        <v>372</v>
      </c>
      <c r="Q71" s="21">
        <v>44815</v>
      </c>
      <c r="R71" s="48">
        <v>-7.04</v>
      </c>
      <c r="U71" t="s">
        <v>399</v>
      </c>
      <c r="V71" s="21">
        <v>44847</v>
      </c>
      <c r="W71" s="48">
        <v>-6.46</v>
      </c>
      <c r="X71" t="s">
        <v>398</v>
      </c>
      <c r="AA71" s="2"/>
      <c r="AB71" s="48">
        <f>SUM(AB57:AB70)</f>
        <v>-153.81</v>
      </c>
      <c r="AE71" t="s">
        <v>503</v>
      </c>
      <c r="AF71" s="21">
        <v>44925</v>
      </c>
      <c r="AG71" s="48">
        <v>-26.14</v>
      </c>
      <c r="AH71" t="s">
        <v>498</v>
      </c>
      <c r="AT71" t="s">
        <v>409</v>
      </c>
      <c r="AU71" s="21">
        <v>44989</v>
      </c>
      <c r="AV71" s="48">
        <v>-35.75</v>
      </c>
      <c r="AW71" t="s">
        <v>560</v>
      </c>
      <c r="AY71" t="s">
        <v>423</v>
      </c>
      <c r="AZ71" s="21">
        <v>44993</v>
      </c>
      <c r="BA71">
        <v>-17.940000000000001</v>
      </c>
      <c r="BE71" s="2"/>
      <c r="BF71" s="55">
        <f>SUM(BF53:BF70)</f>
        <v>-466.16</v>
      </c>
    </row>
    <row r="72" spans="1:59" ht="15" thickBot="1" x14ac:dyDescent="0.4">
      <c r="F72" t="s">
        <v>372</v>
      </c>
      <c r="G72" s="21">
        <v>44756</v>
      </c>
      <c r="H72" s="48">
        <v>-6.5</v>
      </c>
      <c r="K72" t="s">
        <v>358</v>
      </c>
      <c r="L72" s="2"/>
      <c r="M72" s="48"/>
      <c r="P72" t="s">
        <v>402</v>
      </c>
      <c r="Q72" s="21">
        <v>44817</v>
      </c>
      <c r="R72" s="48">
        <v>-11.59</v>
      </c>
      <c r="U72" t="s">
        <v>400</v>
      </c>
      <c r="V72" s="21">
        <v>44848</v>
      </c>
      <c r="W72" s="48">
        <v>-32.229999999999997</v>
      </c>
      <c r="X72" t="s">
        <v>398</v>
      </c>
      <c r="AE72" t="s">
        <v>504</v>
      </c>
      <c r="AF72" s="21">
        <v>44926</v>
      </c>
      <c r="AG72" s="49">
        <v>-79.88</v>
      </c>
      <c r="AH72" t="s">
        <v>498</v>
      </c>
      <c r="AT72" t="s">
        <v>568</v>
      </c>
      <c r="AU72" s="21">
        <v>44990</v>
      </c>
      <c r="AV72" s="48">
        <v>-43.49</v>
      </c>
      <c r="AW72" t="s">
        <v>560</v>
      </c>
      <c r="AY72" t="s">
        <v>511</v>
      </c>
      <c r="AZ72" s="21">
        <v>44994</v>
      </c>
      <c r="BA72" s="24">
        <v>-10</v>
      </c>
      <c r="BF72" s="48"/>
    </row>
    <row r="73" spans="1:59" ht="15" thickBot="1" x14ac:dyDescent="0.4">
      <c r="F73" t="s">
        <v>386</v>
      </c>
      <c r="G73" s="21">
        <v>44757</v>
      </c>
      <c r="H73" s="48">
        <v>-6.5</v>
      </c>
      <c r="K73" t="s">
        <v>359</v>
      </c>
      <c r="L73" s="21">
        <v>44779</v>
      </c>
      <c r="M73" s="48">
        <v>-15</v>
      </c>
      <c r="P73" t="s">
        <v>389</v>
      </c>
      <c r="Q73" s="21">
        <v>44817</v>
      </c>
      <c r="R73" s="48">
        <v>-6.53</v>
      </c>
      <c r="U73" t="s">
        <v>401</v>
      </c>
      <c r="V73" s="21">
        <v>44848</v>
      </c>
      <c r="W73" s="48">
        <v>-55.48</v>
      </c>
      <c r="X73" t="s">
        <v>398</v>
      </c>
      <c r="AG73" s="48">
        <f>SUM(AG53:AG72)</f>
        <v>-681.86999999999989</v>
      </c>
      <c r="AJ73" s="52" t="s">
        <v>333</v>
      </c>
      <c r="AK73" s="53" t="s">
        <v>340</v>
      </c>
      <c r="AL73" s="53" t="s">
        <v>342</v>
      </c>
      <c r="AM73" s="53" t="s">
        <v>343</v>
      </c>
      <c r="AO73" s="52" t="s">
        <v>333</v>
      </c>
      <c r="AP73" s="53" t="s">
        <v>340</v>
      </c>
      <c r="AQ73" s="53" t="s">
        <v>342</v>
      </c>
      <c r="AR73" s="53" t="s">
        <v>343</v>
      </c>
      <c r="AT73" t="s">
        <v>419</v>
      </c>
      <c r="AU73" s="21">
        <v>44992</v>
      </c>
      <c r="AV73" s="48">
        <v>-17.82</v>
      </c>
      <c r="AW73" t="s">
        <v>560</v>
      </c>
      <c r="AY73" t="s">
        <v>566</v>
      </c>
      <c r="AZ73" s="21">
        <v>45010</v>
      </c>
      <c r="BA73" s="24">
        <v>-24</v>
      </c>
      <c r="BF73" s="48"/>
    </row>
    <row r="74" spans="1:59" x14ac:dyDescent="0.35">
      <c r="A74" s="50" t="s">
        <v>369</v>
      </c>
      <c r="B74" s="51" t="s">
        <v>340</v>
      </c>
      <c r="C74" s="51" t="s">
        <v>342</v>
      </c>
      <c r="D74" s="51" t="s">
        <v>343</v>
      </c>
      <c r="F74" t="s">
        <v>372</v>
      </c>
      <c r="G74" s="21">
        <v>44760</v>
      </c>
      <c r="H74" s="48">
        <v>-6.32</v>
      </c>
      <c r="K74" t="s">
        <v>360</v>
      </c>
      <c r="L74" s="2"/>
      <c r="M74" s="48"/>
      <c r="P74" t="s">
        <v>372</v>
      </c>
      <c r="Q74" s="21">
        <v>44820</v>
      </c>
      <c r="R74" s="48">
        <v>-7.04</v>
      </c>
      <c r="U74" t="s">
        <v>403</v>
      </c>
      <c r="V74" s="21">
        <v>44848</v>
      </c>
      <c r="W74" s="48">
        <v>-3.12</v>
      </c>
      <c r="X74" t="s">
        <v>398</v>
      </c>
      <c r="Z74" s="52" t="s">
        <v>333</v>
      </c>
      <c r="AA74" s="53" t="s">
        <v>340</v>
      </c>
      <c r="AB74" s="53" t="s">
        <v>342</v>
      </c>
      <c r="AC74" s="53" t="s">
        <v>343</v>
      </c>
      <c r="AJ74" t="s">
        <v>358</v>
      </c>
      <c r="AL74" s="48"/>
      <c r="AO74" t="s">
        <v>358</v>
      </c>
      <c r="AQ74" s="48"/>
      <c r="AT74" t="s">
        <v>390</v>
      </c>
      <c r="AU74" s="21">
        <v>44994</v>
      </c>
      <c r="AV74" s="48">
        <v>-7.75</v>
      </c>
      <c r="AZ74" s="2"/>
      <c r="BA74" s="55">
        <f>SUM(BA71:BA73)</f>
        <v>-51.94</v>
      </c>
      <c r="BD74" s="156" t="s">
        <v>333</v>
      </c>
      <c r="BE74" s="53" t="s">
        <v>340</v>
      </c>
      <c r="BF74" s="53" t="s">
        <v>342</v>
      </c>
      <c r="BG74" s="53" t="s">
        <v>343</v>
      </c>
    </row>
    <row r="75" spans="1:59" x14ac:dyDescent="0.35">
      <c r="A75" t="s">
        <v>405</v>
      </c>
      <c r="B75" s="21">
        <v>44713</v>
      </c>
      <c r="C75" s="48">
        <v>-20.399999999999999</v>
      </c>
      <c r="F75" t="s">
        <v>406</v>
      </c>
      <c r="G75" s="21">
        <v>44761</v>
      </c>
      <c r="H75" s="48">
        <v>-33.6</v>
      </c>
      <c r="K75" t="s">
        <v>361</v>
      </c>
      <c r="L75" s="21">
        <v>44791</v>
      </c>
      <c r="M75" s="48">
        <v>-4</v>
      </c>
      <c r="P75" t="s">
        <v>372</v>
      </c>
      <c r="Q75" s="21">
        <v>44822</v>
      </c>
      <c r="R75" s="48">
        <v>-6.5</v>
      </c>
      <c r="U75" t="s">
        <v>404</v>
      </c>
      <c r="V75" s="21">
        <v>44848</v>
      </c>
      <c r="W75" s="48">
        <v>-14.49</v>
      </c>
      <c r="X75" t="s">
        <v>398</v>
      </c>
      <c r="Z75" t="s">
        <v>358</v>
      </c>
      <c r="AA75" s="2"/>
      <c r="AB75" s="48"/>
      <c r="AE75" t="s">
        <v>473</v>
      </c>
      <c r="AG75" s="48"/>
      <c r="AJ75" t="s">
        <v>475</v>
      </c>
      <c r="AK75" s="21">
        <v>44930</v>
      </c>
      <c r="AL75" s="48">
        <v>-80</v>
      </c>
      <c r="AO75" t="s">
        <v>470</v>
      </c>
      <c r="AP75" s="21">
        <v>44959</v>
      </c>
      <c r="AQ75" s="48">
        <v>-20</v>
      </c>
      <c r="AT75" t="s">
        <v>570</v>
      </c>
      <c r="AU75" s="21">
        <v>44995</v>
      </c>
      <c r="AV75" s="48">
        <v>-3.09</v>
      </c>
      <c r="AZ75" s="2"/>
      <c r="BA75" s="48"/>
      <c r="BD75" s="38" t="s">
        <v>872</v>
      </c>
      <c r="BE75" s="2"/>
      <c r="BF75" s="48"/>
    </row>
    <row r="76" spans="1:59" x14ac:dyDescent="0.35">
      <c r="A76" t="s">
        <v>372</v>
      </c>
      <c r="B76" s="21">
        <v>44713</v>
      </c>
      <c r="C76" s="48">
        <v>-6.5</v>
      </c>
      <c r="F76" t="s">
        <v>372</v>
      </c>
      <c r="G76" s="21">
        <v>44762</v>
      </c>
      <c r="H76" s="48">
        <v>-6.32</v>
      </c>
      <c r="K76" t="s">
        <v>359</v>
      </c>
      <c r="L76" s="21">
        <v>44793</v>
      </c>
      <c r="M76" s="48">
        <v>-58.64</v>
      </c>
      <c r="P76" t="s">
        <v>372</v>
      </c>
      <c r="Q76" s="21">
        <v>44823</v>
      </c>
      <c r="R76" s="48">
        <v>-7.04</v>
      </c>
      <c r="U76" t="s">
        <v>397</v>
      </c>
      <c r="V76" s="21">
        <v>44849</v>
      </c>
      <c r="W76" s="48">
        <v>-21.5</v>
      </c>
      <c r="X76" t="s">
        <v>398</v>
      </c>
      <c r="Z76" t="s">
        <v>359</v>
      </c>
      <c r="AA76" s="21">
        <v>44870</v>
      </c>
      <c r="AB76" s="48">
        <v>-30</v>
      </c>
      <c r="AE76" s="52" t="s">
        <v>333</v>
      </c>
      <c r="AF76" s="53" t="s">
        <v>340</v>
      </c>
      <c r="AG76" s="53" t="s">
        <v>342</v>
      </c>
      <c r="AH76" s="53" t="s">
        <v>343</v>
      </c>
      <c r="AJ76" t="s">
        <v>360</v>
      </c>
      <c r="AL76" s="48"/>
      <c r="AO76" t="s">
        <v>360</v>
      </c>
      <c r="AQ76" s="48"/>
      <c r="AT76" t="s">
        <v>570</v>
      </c>
      <c r="AU76" s="21">
        <v>44996</v>
      </c>
      <c r="AV76" s="48">
        <v>-63.74</v>
      </c>
      <c r="AZ76" s="2"/>
      <c r="BA76" s="48"/>
      <c r="BD76" s="38" t="s">
        <v>911</v>
      </c>
      <c r="BE76" s="21">
        <v>45047</v>
      </c>
      <c r="BF76" s="48">
        <v>-120</v>
      </c>
    </row>
    <row r="77" spans="1:59" ht="15" thickBot="1" x14ac:dyDescent="0.4">
      <c r="A77" t="s">
        <v>402</v>
      </c>
      <c r="B77" s="21">
        <v>44715</v>
      </c>
      <c r="C77" s="48">
        <v>-11.07</v>
      </c>
      <c r="F77" t="s">
        <v>372</v>
      </c>
      <c r="G77" s="21">
        <v>44760</v>
      </c>
      <c r="H77" s="48">
        <v>-6.5</v>
      </c>
      <c r="K77" t="s">
        <v>363</v>
      </c>
      <c r="L77" s="2"/>
      <c r="M77" s="48"/>
      <c r="P77" t="s">
        <v>372</v>
      </c>
      <c r="Q77" s="21">
        <v>44825</v>
      </c>
      <c r="R77" s="48">
        <v>-7.04</v>
      </c>
      <c r="U77" t="s">
        <v>407</v>
      </c>
      <c r="V77" s="21">
        <v>44849</v>
      </c>
      <c r="W77" s="48">
        <v>-23.5</v>
      </c>
      <c r="X77" t="s">
        <v>398</v>
      </c>
      <c r="Z77" t="s">
        <v>371</v>
      </c>
      <c r="AA77" s="2"/>
      <c r="AB77" s="48"/>
      <c r="AE77" t="s">
        <v>474</v>
      </c>
      <c r="AF77" s="21">
        <v>44898</v>
      </c>
      <c r="AG77" s="48">
        <v>-100</v>
      </c>
      <c r="AJ77" t="s">
        <v>471</v>
      </c>
      <c r="AK77" s="21">
        <v>44945</v>
      </c>
      <c r="AL77" s="48">
        <v>-40</v>
      </c>
      <c r="AO77" t="s">
        <v>471</v>
      </c>
      <c r="AP77" s="21">
        <v>44974</v>
      </c>
      <c r="AQ77" s="48">
        <v>-55</v>
      </c>
      <c r="AR77" t="s">
        <v>472</v>
      </c>
      <c r="AT77" t="s">
        <v>570</v>
      </c>
      <c r="AU77" s="21">
        <v>44997</v>
      </c>
      <c r="AV77" s="48">
        <v>-7.03</v>
      </c>
      <c r="AY77" s="52" t="s">
        <v>337</v>
      </c>
      <c r="AZ77" s="53" t="s">
        <v>340</v>
      </c>
      <c r="BA77" s="53" t="s">
        <v>342</v>
      </c>
      <c r="BB77" s="53" t="s">
        <v>343</v>
      </c>
      <c r="BE77" s="2"/>
      <c r="BF77" s="49"/>
    </row>
    <row r="78" spans="1:59" ht="15" thickBot="1" x14ac:dyDescent="0.4">
      <c r="A78" t="s">
        <v>389</v>
      </c>
      <c r="B78" s="21">
        <v>44719</v>
      </c>
      <c r="C78" s="48">
        <v>-11.5</v>
      </c>
      <c r="D78" t="s">
        <v>356</v>
      </c>
      <c r="F78" t="s">
        <v>372</v>
      </c>
      <c r="G78" s="21">
        <v>44762</v>
      </c>
      <c r="H78" s="48">
        <v>-6.5</v>
      </c>
      <c r="K78" t="s">
        <v>359</v>
      </c>
      <c r="L78" s="21">
        <v>44800</v>
      </c>
      <c r="M78" s="49">
        <v>-35</v>
      </c>
      <c r="P78" t="s">
        <v>402</v>
      </c>
      <c r="Q78" s="21">
        <v>44826</v>
      </c>
      <c r="R78" s="48">
        <v>-11.59</v>
      </c>
      <c r="U78" t="s">
        <v>408</v>
      </c>
      <c r="V78" s="21">
        <v>44849</v>
      </c>
      <c r="W78" s="48">
        <v>-101.05</v>
      </c>
      <c r="X78" t="s">
        <v>398</v>
      </c>
      <c r="Z78" t="s">
        <v>359</v>
      </c>
      <c r="AA78" s="21">
        <v>44877</v>
      </c>
      <c r="AB78" s="48">
        <v>-30</v>
      </c>
      <c r="AE78" t="s">
        <v>363</v>
      </c>
      <c r="AG78" s="48"/>
      <c r="AJ78" t="s">
        <v>363</v>
      </c>
      <c r="AL78" s="48"/>
      <c r="AO78" t="s">
        <v>363</v>
      </c>
      <c r="AQ78" s="48"/>
      <c r="AT78" t="s">
        <v>571</v>
      </c>
      <c r="AU78" s="21">
        <v>44999</v>
      </c>
      <c r="AV78" s="48">
        <v>-35.840000000000003</v>
      </c>
      <c r="AZ78" s="21"/>
      <c r="BA78" s="48"/>
      <c r="BE78" s="2"/>
      <c r="BF78" s="55">
        <f>SUM(BF75:BF77)</f>
        <v>-120</v>
      </c>
    </row>
    <row r="79" spans="1:59" ht="15" thickBot="1" x14ac:dyDescent="0.4">
      <c r="A79" t="s">
        <v>389</v>
      </c>
      <c r="B79" s="21">
        <v>44720</v>
      </c>
      <c r="C79" s="48">
        <v>-6.95</v>
      </c>
      <c r="F79" t="s">
        <v>411</v>
      </c>
      <c r="G79" s="21">
        <v>44763</v>
      </c>
      <c r="H79" s="48">
        <v>-27.33</v>
      </c>
      <c r="L79" s="2"/>
      <c r="M79" s="48">
        <f>SUM(M72:M78)</f>
        <v>-112.64</v>
      </c>
      <c r="P79" t="s">
        <v>372</v>
      </c>
      <c r="Q79" s="21">
        <v>44828</v>
      </c>
      <c r="R79" s="48">
        <v>-24.36</v>
      </c>
      <c r="S79" t="s">
        <v>418</v>
      </c>
      <c r="U79" t="s">
        <v>409</v>
      </c>
      <c r="V79" s="21">
        <v>44850</v>
      </c>
      <c r="W79" s="48">
        <v>-63.7</v>
      </c>
      <c r="X79" t="s">
        <v>398</v>
      </c>
      <c r="Z79" t="s">
        <v>360</v>
      </c>
      <c r="AA79" s="2"/>
      <c r="AB79" s="48"/>
      <c r="AE79" t="s">
        <v>476</v>
      </c>
      <c r="AF79" s="21">
        <v>44919</v>
      </c>
      <c r="AG79" s="49">
        <v>0</v>
      </c>
      <c r="AH79" t="s">
        <v>477</v>
      </c>
      <c r="AJ79" t="s">
        <v>478</v>
      </c>
      <c r="AK79" s="21">
        <v>44954</v>
      </c>
      <c r="AL79" s="49">
        <v>-30</v>
      </c>
      <c r="AO79" t="s">
        <v>471</v>
      </c>
      <c r="AP79" s="21">
        <v>44981</v>
      </c>
      <c r="AQ79" s="49">
        <v>-20</v>
      </c>
      <c r="AT79" t="s">
        <v>497</v>
      </c>
      <c r="AU79" s="21">
        <v>45003</v>
      </c>
      <c r="AV79" s="48">
        <v>-18.75</v>
      </c>
      <c r="AZ79" s="2"/>
      <c r="BA79" s="49"/>
      <c r="BF79" s="48"/>
    </row>
    <row r="80" spans="1:59" ht="15" thickBot="1" x14ac:dyDescent="0.4">
      <c r="A80" t="s">
        <v>410</v>
      </c>
      <c r="B80" s="21">
        <v>44721</v>
      </c>
      <c r="C80" s="48">
        <v>-51.77</v>
      </c>
      <c r="F80" t="s">
        <v>372</v>
      </c>
      <c r="G80" s="21">
        <v>44768</v>
      </c>
      <c r="H80" s="48">
        <v>-6.5</v>
      </c>
      <c r="P80" t="s">
        <v>372</v>
      </c>
      <c r="Q80" s="21">
        <v>44828</v>
      </c>
      <c r="R80" s="48">
        <v>-42.96</v>
      </c>
      <c r="U80" t="s">
        <v>397</v>
      </c>
      <c r="V80" s="21">
        <v>44850</v>
      </c>
      <c r="W80" s="48">
        <v>-3.23</v>
      </c>
      <c r="X80" t="s">
        <v>398</v>
      </c>
      <c r="Z80" t="s">
        <v>359</v>
      </c>
      <c r="AA80" s="21">
        <v>44884</v>
      </c>
      <c r="AB80" s="49">
        <v>-20</v>
      </c>
      <c r="AG80" s="48">
        <f>SUM(AG77:AG79)</f>
        <v>-100</v>
      </c>
      <c r="AL80" s="48">
        <f>SUM(AL74:AL79)</f>
        <v>-150</v>
      </c>
      <c r="AQ80" s="48">
        <f>SUM(AQ74:AQ79)</f>
        <v>-95</v>
      </c>
      <c r="AT80" t="s">
        <v>390</v>
      </c>
      <c r="AU80" s="21">
        <v>45007</v>
      </c>
      <c r="AV80" s="48">
        <v>-6.74</v>
      </c>
      <c r="AZ80" s="2"/>
      <c r="BA80" s="48">
        <f>SUM(BA78:BA79)</f>
        <v>0</v>
      </c>
      <c r="BF80" s="48"/>
    </row>
    <row r="81" spans="1:59" ht="15" thickBot="1" x14ac:dyDescent="0.4">
      <c r="A81" t="s">
        <v>372</v>
      </c>
      <c r="B81" s="21">
        <v>44722</v>
      </c>
      <c r="C81" s="48">
        <v>-6.5</v>
      </c>
      <c r="F81" t="s">
        <v>389</v>
      </c>
      <c r="G81" s="21">
        <v>44769</v>
      </c>
      <c r="H81" s="48">
        <v>-7.51</v>
      </c>
      <c r="P81" t="s">
        <v>372</v>
      </c>
      <c r="Q81" s="21">
        <v>44829</v>
      </c>
      <c r="R81" s="49">
        <v>-7.04</v>
      </c>
      <c r="U81" t="s">
        <v>412</v>
      </c>
      <c r="V81" s="21">
        <v>44851</v>
      </c>
      <c r="W81" s="48">
        <v>-49</v>
      </c>
      <c r="X81" t="s">
        <v>398</v>
      </c>
      <c r="AA81" s="2"/>
      <c r="AB81" s="48">
        <f>SUM(AB75:AB80)</f>
        <v>-80</v>
      </c>
      <c r="AT81" t="s">
        <v>570</v>
      </c>
      <c r="AU81" s="21">
        <v>45007</v>
      </c>
      <c r="AV81" s="48">
        <v>-26.86</v>
      </c>
      <c r="AZ81" s="2"/>
      <c r="BA81" s="48"/>
      <c r="BD81" s="156" t="s">
        <v>335</v>
      </c>
      <c r="BE81" s="53" t="s">
        <v>340</v>
      </c>
      <c r="BF81" s="53" t="s">
        <v>342</v>
      </c>
      <c r="BG81" s="53" t="s">
        <v>343</v>
      </c>
    </row>
    <row r="82" spans="1:59" x14ac:dyDescent="0.35">
      <c r="A82" t="s">
        <v>413</v>
      </c>
      <c r="B82" s="21">
        <v>44723</v>
      </c>
      <c r="C82" s="48">
        <v>-17.75</v>
      </c>
      <c r="F82" t="s">
        <v>386</v>
      </c>
      <c r="G82" s="21">
        <v>44770</v>
      </c>
      <c r="H82" s="48">
        <v>10.5</v>
      </c>
      <c r="K82" s="50" t="s">
        <v>335</v>
      </c>
      <c r="L82" s="51" t="s">
        <v>340</v>
      </c>
      <c r="M82" s="53" t="s">
        <v>342</v>
      </c>
      <c r="N82" s="51" t="s">
        <v>343</v>
      </c>
      <c r="Q82" s="2"/>
      <c r="R82" s="48">
        <f>SUM(R62:R81)</f>
        <v>-239.69</v>
      </c>
      <c r="U82" t="s">
        <v>397</v>
      </c>
      <c r="V82" s="21">
        <v>44850</v>
      </c>
      <c r="W82" s="48">
        <v>-3.23</v>
      </c>
      <c r="X82" t="s">
        <v>398</v>
      </c>
      <c r="AT82" t="s">
        <v>865</v>
      </c>
      <c r="AU82" s="21">
        <v>45008</v>
      </c>
      <c r="AV82" s="48">
        <v>-43</v>
      </c>
      <c r="AW82" t="s">
        <v>866</v>
      </c>
      <c r="AZ82" s="2"/>
      <c r="BA82" s="48"/>
      <c r="BD82" s="38" t="s">
        <v>972</v>
      </c>
      <c r="BE82" s="21">
        <v>45066</v>
      </c>
      <c r="BF82" s="48">
        <v>-30</v>
      </c>
    </row>
    <row r="83" spans="1:59" x14ac:dyDescent="0.35">
      <c r="A83" t="s">
        <v>389</v>
      </c>
      <c r="B83" s="21">
        <v>44725</v>
      </c>
      <c r="C83" s="48">
        <v>-6.95</v>
      </c>
      <c r="F83" t="s">
        <v>416</v>
      </c>
      <c r="G83" s="21">
        <v>44772</v>
      </c>
      <c r="H83" s="48">
        <v>-21.08</v>
      </c>
      <c r="L83" s="2"/>
      <c r="M83" s="48"/>
      <c r="U83" t="s">
        <v>414</v>
      </c>
      <c r="V83" s="21">
        <v>44852</v>
      </c>
      <c r="W83" s="48">
        <v>-3.12</v>
      </c>
      <c r="X83" t="s">
        <v>398</v>
      </c>
      <c r="AE83" s="52" t="s">
        <v>335</v>
      </c>
      <c r="AF83" s="53" t="s">
        <v>340</v>
      </c>
      <c r="AG83" s="53" t="s">
        <v>342</v>
      </c>
      <c r="AH83" s="53" t="s">
        <v>343</v>
      </c>
      <c r="AJ83" s="52" t="s">
        <v>335</v>
      </c>
      <c r="AK83" s="53" t="s">
        <v>340</v>
      </c>
      <c r="AL83" s="53" t="s">
        <v>342</v>
      </c>
      <c r="AM83" s="53" t="s">
        <v>343</v>
      </c>
      <c r="AO83" s="52" t="s">
        <v>335</v>
      </c>
      <c r="AP83" s="53" t="s">
        <v>340</v>
      </c>
      <c r="AQ83" s="53" t="s">
        <v>342</v>
      </c>
      <c r="AR83" s="53" t="s">
        <v>343</v>
      </c>
      <c r="AT83" t="s">
        <v>390</v>
      </c>
      <c r="AU83" s="21">
        <v>45008</v>
      </c>
      <c r="AV83" s="48">
        <v>-7.75</v>
      </c>
      <c r="AY83" s="52" t="s">
        <v>1218</v>
      </c>
      <c r="AZ83" s="53" t="s">
        <v>340</v>
      </c>
      <c r="BA83" s="53" t="s">
        <v>342</v>
      </c>
      <c r="BB83" s="53" t="s">
        <v>343</v>
      </c>
      <c r="BD83" s="38" t="s">
        <v>972</v>
      </c>
      <c r="BE83" s="21">
        <v>45066</v>
      </c>
      <c r="BF83" s="48">
        <v>-9.5</v>
      </c>
    </row>
    <row r="84" spans="1:59" ht="15" thickBot="1" x14ac:dyDescent="0.4">
      <c r="A84" t="s">
        <v>413</v>
      </c>
      <c r="B84" s="21">
        <v>44726</v>
      </c>
      <c r="C84" s="48">
        <v>-10</v>
      </c>
      <c r="F84" t="s">
        <v>372</v>
      </c>
      <c r="G84" s="21">
        <v>44773</v>
      </c>
      <c r="H84" s="49">
        <v>-6.5</v>
      </c>
      <c r="L84" s="2"/>
      <c r="M84" s="49"/>
      <c r="P84" s="50" t="s">
        <v>333</v>
      </c>
      <c r="Q84" s="51" t="s">
        <v>340</v>
      </c>
      <c r="R84" s="53" t="s">
        <v>342</v>
      </c>
      <c r="S84" s="51" t="s">
        <v>343</v>
      </c>
      <c r="U84" t="s">
        <v>415</v>
      </c>
      <c r="V84" s="21">
        <v>44852</v>
      </c>
      <c r="W84" s="48">
        <v>-5.48</v>
      </c>
      <c r="X84" t="s">
        <v>398</v>
      </c>
      <c r="Z84" s="52" t="s">
        <v>335</v>
      </c>
      <c r="AA84" s="53" t="s">
        <v>340</v>
      </c>
      <c r="AB84" s="53" t="s">
        <v>342</v>
      </c>
      <c r="AC84" s="53" t="s">
        <v>343</v>
      </c>
      <c r="AE84" t="s">
        <v>509</v>
      </c>
      <c r="AF84" s="21">
        <v>44922</v>
      </c>
      <c r="AG84" s="48">
        <v>-24</v>
      </c>
      <c r="AH84" t="s">
        <v>510</v>
      </c>
      <c r="AJ84" t="s">
        <v>506</v>
      </c>
      <c r="AK84" s="21">
        <v>44928</v>
      </c>
      <c r="AL84" s="48">
        <v>-56.95</v>
      </c>
      <c r="AM84" t="s">
        <v>507</v>
      </c>
      <c r="AO84" t="s">
        <v>496</v>
      </c>
      <c r="AP84" s="21">
        <v>44961</v>
      </c>
      <c r="AQ84" s="48">
        <v>-34</v>
      </c>
      <c r="AT84" t="s">
        <v>390</v>
      </c>
      <c r="AU84" s="21">
        <v>45009</v>
      </c>
      <c r="AV84" s="48">
        <v>-7.75</v>
      </c>
      <c r="AY84" t="s">
        <v>1385</v>
      </c>
      <c r="AZ84" s="21">
        <v>45023</v>
      </c>
      <c r="BA84" s="48">
        <v>-12.63</v>
      </c>
      <c r="BD84" s="38" t="s">
        <v>973</v>
      </c>
      <c r="BE84" s="21">
        <v>45068</v>
      </c>
      <c r="BF84" s="48">
        <v>-27</v>
      </c>
    </row>
    <row r="85" spans="1:59" ht="15" thickBot="1" x14ac:dyDescent="0.4">
      <c r="A85" t="s">
        <v>416</v>
      </c>
      <c r="B85" s="21">
        <v>44727</v>
      </c>
      <c r="C85" s="48">
        <v>-12.86</v>
      </c>
      <c r="G85" s="2"/>
      <c r="H85" s="48">
        <f>SUM(H67:H84)</f>
        <v>-195.71999999999997</v>
      </c>
      <c r="L85" s="2"/>
      <c r="M85" s="4">
        <f>SUM(M83:M84)</f>
        <v>0</v>
      </c>
      <c r="P85" t="s">
        <v>364</v>
      </c>
      <c r="Q85" s="21">
        <v>44806</v>
      </c>
      <c r="R85" s="48"/>
      <c r="U85" t="s">
        <v>417</v>
      </c>
      <c r="V85" s="21">
        <v>44852</v>
      </c>
      <c r="W85" s="48">
        <v>-7.58</v>
      </c>
      <c r="X85" t="s">
        <v>398</v>
      </c>
      <c r="Z85" t="s">
        <v>511</v>
      </c>
      <c r="AA85" s="21">
        <v>44878</v>
      </c>
      <c r="AB85" s="49">
        <v>-10</v>
      </c>
      <c r="AE85" t="s">
        <v>509</v>
      </c>
      <c r="AF85" s="21">
        <v>44924</v>
      </c>
      <c r="AG85" s="48">
        <v>-60</v>
      </c>
      <c r="AH85" t="s">
        <v>512</v>
      </c>
      <c r="AL85" s="49"/>
      <c r="AO85" t="s">
        <v>496</v>
      </c>
      <c r="AP85" s="21">
        <v>44961</v>
      </c>
      <c r="AQ85" s="48">
        <v>-24</v>
      </c>
      <c r="AT85" t="s">
        <v>570</v>
      </c>
      <c r="AU85" s="21">
        <v>45009</v>
      </c>
      <c r="AV85" s="48">
        <v>-53.88</v>
      </c>
      <c r="AY85" t="s">
        <v>1385</v>
      </c>
      <c r="AZ85" s="21">
        <v>45030</v>
      </c>
      <c r="BA85" s="48">
        <v>-31.63</v>
      </c>
      <c r="BE85" s="2"/>
      <c r="BF85" s="49"/>
    </row>
    <row r="86" spans="1:59" ht="15" thickBot="1" x14ac:dyDescent="0.4">
      <c r="A86" t="s">
        <v>372</v>
      </c>
      <c r="B86" s="21">
        <v>44722</v>
      </c>
      <c r="C86" s="48">
        <v>-6.5</v>
      </c>
      <c r="L86" s="2"/>
      <c r="M86" s="4"/>
      <c r="P86" t="s">
        <v>359</v>
      </c>
      <c r="Q86" s="21">
        <v>44807</v>
      </c>
      <c r="R86" s="48">
        <v>-20</v>
      </c>
      <c r="U86" t="s">
        <v>419</v>
      </c>
      <c r="V86" s="21">
        <v>44852</v>
      </c>
      <c r="W86" s="48">
        <v>-4.29</v>
      </c>
      <c r="X86" t="s">
        <v>398</v>
      </c>
      <c r="AA86" s="2"/>
      <c r="AB86" s="48">
        <f>SUM(AB85)</f>
        <v>-10</v>
      </c>
      <c r="AE86" t="s">
        <v>509</v>
      </c>
      <c r="AF86" s="21">
        <v>44924</v>
      </c>
      <c r="AG86" s="48">
        <v>-25</v>
      </c>
      <c r="AH86" t="s">
        <v>418</v>
      </c>
      <c r="AL86" s="48">
        <f>SUM(AL84:AL85)</f>
        <v>-56.95</v>
      </c>
      <c r="AO86" t="s">
        <v>500</v>
      </c>
      <c r="AP86" s="21">
        <v>44964</v>
      </c>
      <c r="AQ86" s="48">
        <v>-17.899999999999999</v>
      </c>
      <c r="AR86" t="s">
        <v>501</v>
      </c>
      <c r="AT86" t="s">
        <v>869</v>
      </c>
      <c r="AU86" s="21">
        <v>45010</v>
      </c>
      <c r="AV86" s="48">
        <v>-9.36</v>
      </c>
      <c r="AW86" t="s">
        <v>870</v>
      </c>
      <c r="AY86" t="s">
        <v>1385</v>
      </c>
      <c r="AZ86" s="21">
        <v>45045</v>
      </c>
      <c r="BA86" s="48">
        <v>-10.54</v>
      </c>
      <c r="BE86" s="2"/>
      <c r="BF86" s="55">
        <f>SUM(BF82:BF85)</f>
        <v>-66.5</v>
      </c>
    </row>
    <row r="87" spans="1:59" ht="15" thickBot="1" x14ac:dyDescent="0.4">
      <c r="A87" t="s">
        <v>372</v>
      </c>
      <c r="B87" s="21">
        <v>44729</v>
      </c>
      <c r="C87" s="48">
        <v>-6.5</v>
      </c>
      <c r="L87" s="2"/>
      <c r="M87" s="48"/>
      <c r="P87" t="s">
        <v>366</v>
      </c>
      <c r="Q87" s="21">
        <v>44811</v>
      </c>
      <c r="R87" s="48"/>
      <c r="U87" t="s">
        <v>389</v>
      </c>
      <c r="V87" s="21">
        <v>44854</v>
      </c>
      <c r="W87" s="48">
        <v>-7.51</v>
      </c>
      <c r="AA87" s="2"/>
      <c r="AB87" s="48"/>
      <c r="AE87" t="s">
        <v>509</v>
      </c>
      <c r="AF87" s="21">
        <v>44924</v>
      </c>
      <c r="AG87" s="49">
        <v>-14</v>
      </c>
      <c r="AH87" t="s">
        <v>418</v>
      </c>
      <c r="AL87" s="48"/>
      <c r="AO87" t="s">
        <v>428</v>
      </c>
      <c r="AP87" s="21">
        <v>44967</v>
      </c>
      <c r="AQ87" s="48">
        <v>-27</v>
      </c>
      <c r="AT87" t="s">
        <v>390</v>
      </c>
      <c r="AU87" s="21">
        <v>45013</v>
      </c>
      <c r="AV87" s="48">
        <v>-7.75</v>
      </c>
      <c r="AZ87" s="2"/>
      <c r="BA87" s="55">
        <f>SUM(BA84:BA86)</f>
        <v>-54.8</v>
      </c>
      <c r="BE87" s="2"/>
      <c r="BF87" s="48"/>
    </row>
    <row r="88" spans="1:59" ht="15" thickBot="1" x14ac:dyDescent="0.4">
      <c r="A88" t="s">
        <v>420</v>
      </c>
      <c r="B88" s="21">
        <v>44730</v>
      </c>
      <c r="C88" s="48">
        <v>-31.83</v>
      </c>
      <c r="F88" s="50" t="s">
        <v>333</v>
      </c>
      <c r="G88" s="51" t="s">
        <v>340</v>
      </c>
      <c r="H88" s="53" t="s">
        <v>342</v>
      </c>
      <c r="I88" s="51" t="s">
        <v>343</v>
      </c>
      <c r="K88" s="50" t="s">
        <v>337</v>
      </c>
      <c r="L88" s="51" t="s">
        <v>340</v>
      </c>
      <c r="M88" s="53" t="s">
        <v>342</v>
      </c>
      <c r="N88" s="51" t="s">
        <v>343</v>
      </c>
      <c r="P88" t="s">
        <v>367</v>
      </c>
      <c r="Q88" s="21">
        <v>44812</v>
      </c>
      <c r="R88" s="48">
        <v>-40</v>
      </c>
      <c r="U88" t="s">
        <v>372</v>
      </c>
      <c r="V88" s="21">
        <v>44855</v>
      </c>
      <c r="W88" s="48">
        <v>-13.55</v>
      </c>
      <c r="AA88" s="2"/>
      <c r="AB88" s="48"/>
      <c r="AG88" s="48">
        <f>SUM(AG84:AG87)</f>
        <v>-123</v>
      </c>
      <c r="AL88" s="48"/>
      <c r="AO88" t="s">
        <v>1444</v>
      </c>
      <c r="AP88" s="21">
        <v>44981</v>
      </c>
      <c r="AQ88" s="49">
        <v>-21.5</v>
      </c>
      <c r="AT88" t="s">
        <v>570</v>
      </c>
      <c r="AU88" s="21">
        <v>45013</v>
      </c>
      <c r="AV88" s="48">
        <v>-7.58</v>
      </c>
      <c r="BA88" s="48"/>
      <c r="BE88" s="2"/>
      <c r="BF88" s="48"/>
    </row>
    <row r="89" spans="1:59" x14ac:dyDescent="0.35">
      <c r="A89" t="s">
        <v>389</v>
      </c>
      <c r="B89" s="21">
        <v>44731</v>
      </c>
      <c r="C89" s="48">
        <v>-11.5</v>
      </c>
      <c r="F89" t="s">
        <v>364</v>
      </c>
      <c r="G89" s="2"/>
      <c r="H89" s="48"/>
      <c r="L89" s="2"/>
      <c r="M89" s="48"/>
      <c r="P89" t="s">
        <v>359</v>
      </c>
      <c r="Q89" s="21">
        <v>44814</v>
      </c>
      <c r="R89" s="48">
        <v>-40</v>
      </c>
      <c r="U89" t="s">
        <v>372</v>
      </c>
      <c r="V89" s="21">
        <v>44856</v>
      </c>
      <c r="W89" s="48">
        <v>-6.5</v>
      </c>
      <c r="Z89" s="52" t="s">
        <v>337</v>
      </c>
      <c r="AA89" s="53" t="s">
        <v>340</v>
      </c>
      <c r="AB89" s="53" t="s">
        <v>342</v>
      </c>
      <c r="AC89" s="53" t="s">
        <v>343</v>
      </c>
      <c r="AG89" s="48"/>
      <c r="AJ89" s="52" t="s">
        <v>337</v>
      </c>
      <c r="AK89" s="53" t="s">
        <v>340</v>
      </c>
      <c r="AL89" s="53" t="s">
        <v>342</v>
      </c>
      <c r="AM89" s="53" t="s">
        <v>343</v>
      </c>
      <c r="AQ89" s="48">
        <f>SUM(AQ84:AQ88)</f>
        <v>-124.4</v>
      </c>
      <c r="AU89" s="2"/>
      <c r="AV89" s="55">
        <f>SUM(AV62:AV88)</f>
        <v>-742.96</v>
      </c>
      <c r="BA89" s="48"/>
      <c r="BD89" s="156" t="s">
        <v>337</v>
      </c>
      <c r="BE89" s="53" t="s">
        <v>340</v>
      </c>
      <c r="BF89" s="53" t="s">
        <v>342</v>
      </c>
      <c r="BG89" s="53" t="s">
        <v>343</v>
      </c>
    </row>
    <row r="90" spans="1:59" ht="15" thickBot="1" x14ac:dyDescent="0.4">
      <c r="A90" t="s">
        <v>389</v>
      </c>
      <c r="B90" s="21">
        <v>44732</v>
      </c>
      <c r="C90" s="48">
        <v>-14.26</v>
      </c>
      <c r="F90" t="s">
        <v>359</v>
      </c>
      <c r="G90" s="21">
        <v>44744</v>
      </c>
      <c r="H90" s="48">
        <v>-50</v>
      </c>
      <c r="I90" t="s">
        <v>368</v>
      </c>
      <c r="L90" s="2"/>
      <c r="M90" s="49"/>
      <c r="P90" t="s">
        <v>374</v>
      </c>
      <c r="Q90" s="21">
        <v>44818</v>
      </c>
      <c r="R90" s="48"/>
      <c r="U90" t="s">
        <v>389</v>
      </c>
      <c r="V90" s="21">
        <v>44861</v>
      </c>
      <c r="W90" s="48">
        <v>-7.51</v>
      </c>
      <c r="AA90" s="2"/>
      <c r="AB90" s="48"/>
      <c r="AG90" s="48"/>
      <c r="AJ90" t="s">
        <v>514</v>
      </c>
      <c r="AK90" s="21">
        <v>44957</v>
      </c>
      <c r="AL90" s="48">
        <v>-89.16</v>
      </c>
      <c r="AQ90" s="48"/>
      <c r="AV90" s="48"/>
      <c r="AY90" s="50" t="s">
        <v>442</v>
      </c>
      <c r="AZ90" s="51" t="s">
        <v>340</v>
      </c>
      <c r="BA90" s="53" t="s">
        <v>342</v>
      </c>
      <c r="BB90" s="51" t="s">
        <v>343</v>
      </c>
      <c r="BD90" s="38" t="s">
        <v>974</v>
      </c>
      <c r="BE90" s="21">
        <v>45070</v>
      </c>
      <c r="BF90" s="48">
        <v>-100</v>
      </c>
    </row>
    <row r="91" spans="1:59" ht="15" thickBot="1" x14ac:dyDescent="0.4">
      <c r="A91" t="s">
        <v>422</v>
      </c>
      <c r="B91" s="21">
        <v>44735</v>
      </c>
      <c r="C91" s="48">
        <v>-10</v>
      </c>
      <c r="F91" t="s">
        <v>371</v>
      </c>
      <c r="G91" s="2"/>
      <c r="H91" s="48"/>
      <c r="L91" s="2"/>
      <c r="M91" s="4">
        <f>SUM(M89:M90)</f>
        <v>0</v>
      </c>
      <c r="P91" t="s">
        <v>367</v>
      </c>
      <c r="Q91" s="21">
        <v>44819</v>
      </c>
      <c r="R91" s="48">
        <v>-22.46</v>
      </c>
      <c r="S91" t="s">
        <v>377</v>
      </c>
      <c r="U91" t="s">
        <v>372</v>
      </c>
      <c r="V91" s="21">
        <v>44862</v>
      </c>
      <c r="W91" s="48">
        <v>-7.04</v>
      </c>
      <c r="AA91" s="2"/>
      <c r="AB91" s="49"/>
      <c r="AE91" s="52" t="s">
        <v>337</v>
      </c>
      <c r="AF91" s="53" t="s">
        <v>340</v>
      </c>
      <c r="AG91" s="53" t="s">
        <v>342</v>
      </c>
      <c r="AH91" s="53" t="s">
        <v>343</v>
      </c>
      <c r="AJ91" t="s">
        <v>515</v>
      </c>
      <c r="AK91" s="21">
        <v>44957</v>
      </c>
      <c r="AL91" s="49">
        <v>-440.21</v>
      </c>
      <c r="AQ91" s="48"/>
      <c r="AV91" s="48"/>
      <c r="AZ91" s="21"/>
      <c r="BA91" s="48"/>
      <c r="BE91" s="2"/>
      <c r="BF91" s="49"/>
    </row>
    <row r="92" spans="1:59" ht="15" thickBot="1" x14ac:dyDescent="0.4">
      <c r="A92" t="s">
        <v>372</v>
      </c>
      <c r="B92" s="21">
        <v>44736</v>
      </c>
      <c r="C92" s="48">
        <v>-6.5</v>
      </c>
      <c r="F92" t="s">
        <v>359</v>
      </c>
      <c r="G92" s="21">
        <v>44751</v>
      </c>
      <c r="H92" s="48">
        <v>-35</v>
      </c>
      <c r="L92" s="2"/>
      <c r="M92" s="48"/>
      <c r="P92" t="s">
        <v>359</v>
      </c>
      <c r="Q92" s="21">
        <v>44821</v>
      </c>
      <c r="R92" s="48">
        <v>-40</v>
      </c>
      <c r="U92" t="s">
        <v>372</v>
      </c>
      <c r="V92" s="21">
        <v>44864</v>
      </c>
      <c r="W92" s="49">
        <v>-13.54</v>
      </c>
      <c r="AA92" s="2"/>
      <c r="AB92" s="48">
        <f>SUM(AB90:AB91)</f>
        <v>0</v>
      </c>
      <c r="AG92" s="48"/>
      <c r="AL92" s="48">
        <f>SUM(AL90:AL91)</f>
        <v>-529.37</v>
      </c>
      <c r="AO92" s="52" t="s">
        <v>337</v>
      </c>
      <c r="AP92" s="53" t="s">
        <v>340</v>
      </c>
      <c r="AQ92" s="53" t="s">
        <v>342</v>
      </c>
      <c r="AR92" s="53" t="s">
        <v>343</v>
      </c>
      <c r="AT92" s="52" t="s">
        <v>333</v>
      </c>
      <c r="AU92" s="53" t="s">
        <v>340</v>
      </c>
      <c r="AV92" s="53" t="s">
        <v>342</v>
      </c>
      <c r="AW92" s="53" t="s">
        <v>343</v>
      </c>
      <c r="AZ92" s="21"/>
      <c r="BA92" s="49"/>
      <c r="BE92" s="2"/>
      <c r="BF92" s="48">
        <f>SUM(BF90:BF91)</f>
        <v>-100</v>
      </c>
    </row>
    <row r="93" spans="1:59" ht="15" thickBot="1" x14ac:dyDescent="0.4">
      <c r="A93" t="s">
        <v>424</v>
      </c>
      <c r="B93" s="21">
        <v>44737</v>
      </c>
      <c r="C93" s="48">
        <v>-26.23</v>
      </c>
      <c r="F93" t="s">
        <v>360</v>
      </c>
      <c r="G93" s="2"/>
      <c r="H93" s="48"/>
      <c r="L93" s="2"/>
      <c r="M93" s="48"/>
      <c r="P93" t="s">
        <v>382</v>
      </c>
      <c r="Q93" s="21">
        <v>44827</v>
      </c>
      <c r="R93" s="48"/>
      <c r="V93" s="2"/>
      <c r="W93" s="48">
        <f>SUM(W63:W92)</f>
        <v>-557.11999999999989</v>
      </c>
      <c r="AA93" s="2"/>
      <c r="AB93" s="48"/>
      <c r="AG93" s="49"/>
      <c r="AL93" s="48"/>
      <c r="AO93" t="s">
        <v>505</v>
      </c>
      <c r="AP93" s="21">
        <v>44963</v>
      </c>
      <c r="AQ93" s="49">
        <v>-18.600000000000001</v>
      </c>
      <c r="AT93" t="s">
        <v>872</v>
      </c>
      <c r="AU93" s="2"/>
      <c r="AV93" s="48"/>
      <c r="AZ93" s="2"/>
      <c r="BA93" s="55">
        <f>SUM(BA91:BA92)</f>
        <v>0</v>
      </c>
      <c r="BE93" s="2"/>
      <c r="BF93" s="48"/>
    </row>
    <row r="94" spans="1:59" ht="15" thickBot="1" x14ac:dyDescent="0.4">
      <c r="A94" t="s">
        <v>427</v>
      </c>
      <c r="B94" s="21">
        <v>44738</v>
      </c>
      <c r="C94" s="49">
        <v>-9.25</v>
      </c>
      <c r="F94" t="s">
        <v>379</v>
      </c>
      <c r="G94" s="21">
        <v>44755</v>
      </c>
      <c r="H94" s="48">
        <v>-33</v>
      </c>
      <c r="K94" s="50" t="s">
        <v>1218</v>
      </c>
      <c r="L94" s="51" t="s">
        <v>340</v>
      </c>
      <c r="M94" s="51" t="s">
        <v>342</v>
      </c>
      <c r="N94" s="51" t="s">
        <v>343</v>
      </c>
      <c r="P94" t="s">
        <v>359</v>
      </c>
      <c r="Q94" s="21">
        <v>44828</v>
      </c>
      <c r="R94" s="48">
        <v>-23</v>
      </c>
      <c r="AA94" s="2"/>
      <c r="AB94" s="48"/>
      <c r="AG94" s="48">
        <f>SUM(AG92:AG93)</f>
        <v>0</v>
      </c>
      <c r="AL94" s="48"/>
      <c r="AQ94" s="48">
        <f>SUM(AQ93:AQ93)</f>
        <v>-18.600000000000001</v>
      </c>
      <c r="AT94" t="s">
        <v>470</v>
      </c>
      <c r="AU94" s="21">
        <v>44986</v>
      </c>
      <c r="AV94" s="48">
        <v>-120</v>
      </c>
      <c r="BA94" s="48"/>
      <c r="BE94" s="2"/>
      <c r="BF94" s="48"/>
    </row>
    <row r="95" spans="1:59" ht="15" thickBot="1" x14ac:dyDescent="0.4">
      <c r="B95" s="2"/>
      <c r="C95" s="48">
        <f>SUM(C75:C94)</f>
        <v>-284.82</v>
      </c>
      <c r="F95" t="s">
        <v>363</v>
      </c>
      <c r="G95" s="2"/>
      <c r="H95" s="48"/>
      <c r="K95" t="s">
        <v>1385</v>
      </c>
      <c r="L95" s="21">
        <v>44774</v>
      </c>
      <c r="M95" s="48">
        <v>-110</v>
      </c>
      <c r="N95">
        <v>5</v>
      </c>
      <c r="P95" t="s">
        <v>385</v>
      </c>
      <c r="Q95" s="21">
        <v>44832</v>
      </c>
      <c r="R95" s="48"/>
      <c r="Z95" s="52" t="s">
        <v>1218</v>
      </c>
      <c r="AA95" s="53" t="s">
        <v>340</v>
      </c>
      <c r="AB95" s="53" t="s">
        <v>342</v>
      </c>
      <c r="AC95" s="53" t="s">
        <v>343</v>
      </c>
      <c r="AG95" s="48"/>
      <c r="AJ95" s="52" t="s">
        <v>1218</v>
      </c>
      <c r="AK95" s="53" t="s">
        <v>340</v>
      </c>
      <c r="AL95" s="53" t="s">
        <v>342</v>
      </c>
      <c r="AM95" s="53" t="s">
        <v>343</v>
      </c>
      <c r="AQ95" s="48"/>
      <c r="AU95" s="2"/>
      <c r="AV95" s="49"/>
      <c r="BA95" s="48"/>
      <c r="BD95" s="156" t="s">
        <v>1218</v>
      </c>
      <c r="BE95" s="53" t="s">
        <v>340</v>
      </c>
      <c r="BF95" s="53" t="s">
        <v>342</v>
      </c>
      <c r="BG95" s="53" t="s">
        <v>343</v>
      </c>
    </row>
    <row r="96" spans="1:59" ht="15" thickBot="1" x14ac:dyDescent="0.4">
      <c r="F96" t="s">
        <v>379</v>
      </c>
      <c r="G96" s="21">
        <v>44755</v>
      </c>
      <c r="H96" s="48">
        <v>-33</v>
      </c>
      <c r="K96" t="s">
        <v>1385</v>
      </c>
      <c r="L96" s="21">
        <v>44774</v>
      </c>
      <c r="M96" s="48">
        <v>-22.99</v>
      </c>
      <c r="P96" t="s">
        <v>367</v>
      </c>
      <c r="Q96" s="21">
        <v>44833</v>
      </c>
      <c r="R96" s="49">
        <v>-16</v>
      </c>
      <c r="U96" s="50" t="s">
        <v>333</v>
      </c>
      <c r="V96" s="51" t="s">
        <v>340</v>
      </c>
      <c r="W96" s="53" t="s">
        <v>342</v>
      </c>
      <c r="X96" s="51" t="s">
        <v>343</v>
      </c>
      <c r="Z96" t="s">
        <v>1385</v>
      </c>
      <c r="AA96" s="21">
        <v>44866</v>
      </c>
      <c r="AB96" s="48">
        <v>-200</v>
      </c>
      <c r="AC96">
        <v>5</v>
      </c>
      <c r="AG96" s="48"/>
      <c r="AJ96" t="s">
        <v>1385</v>
      </c>
      <c r="AK96" s="21">
        <v>44896</v>
      </c>
      <c r="AL96" s="48">
        <v>-185</v>
      </c>
      <c r="AQ96" s="48"/>
      <c r="AU96" s="2"/>
      <c r="AV96" s="55">
        <f>SUM(AV93:AV95)</f>
        <v>-120</v>
      </c>
      <c r="AY96" s="52" t="s">
        <v>339</v>
      </c>
      <c r="AZ96" s="53" t="s">
        <v>340</v>
      </c>
      <c r="BA96" s="53" t="s">
        <v>342</v>
      </c>
      <c r="BB96" s="53" t="s">
        <v>343</v>
      </c>
      <c r="BD96" s="38" t="s">
        <v>1385</v>
      </c>
      <c r="BE96" s="21">
        <v>45074</v>
      </c>
      <c r="BF96" s="48">
        <v>-31.63</v>
      </c>
    </row>
    <row r="97" spans="1:59" ht="15" thickBot="1" x14ac:dyDescent="0.4">
      <c r="F97" t="s">
        <v>385</v>
      </c>
      <c r="G97" s="2"/>
      <c r="H97" s="48"/>
      <c r="K97" t="s">
        <v>1385</v>
      </c>
      <c r="L97" s="21">
        <v>44781</v>
      </c>
      <c r="M97" s="48">
        <v>-22.67</v>
      </c>
      <c r="Q97" s="2"/>
      <c r="R97" s="48">
        <f>SUM(R85:R96)</f>
        <v>-201.46</v>
      </c>
      <c r="U97" t="s">
        <v>365</v>
      </c>
      <c r="V97" s="2"/>
      <c r="W97" s="48"/>
      <c r="Z97" t="s">
        <v>1385</v>
      </c>
      <c r="AA97" s="21">
        <v>44868</v>
      </c>
      <c r="AB97" s="48">
        <v>-22.67</v>
      </c>
      <c r="AE97" s="52" t="s">
        <v>517</v>
      </c>
      <c r="AF97" s="53" t="s">
        <v>340</v>
      </c>
      <c r="AG97" s="53" t="s">
        <v>342</v>
      </c>
      <c r="AH97" s="53" t="s">
        <v>343</v>
      </c>
      <c r="AJ97" t="s">
        <v>1385</v>
      </c>
      <c r="AK97" s="21">
        <v>44926</v>
      </c>
      <c r="AL97" s="48">
        <v>-43</v>
      </c>
      <c r="AM97" t="s">
        <v>518</v>
      </c>
      <c r="AO97" s="52" t="s">
        <v>1218</v>
      </c>
      <c r="AP97" s="53" t="s">
        <v>340</v>
      </c>
      <c r="AQ97" s="53" t="s">
        <v>342</v>
      </c>
      <c r="AR97" s="53" t="s">
        <v>343</v>
      </c>
      <c r="AV97" s="48"/>
      <c r="AY97" t="s">
        <v>157</v>
      </c>
      <c r="AZ97" s="21">
        <v>45020</v>
      </c>
      <c r="BA97" s="48">
        <v>-3</v>
      </c>
      <c r="BE97" s="21"/>
      <c r="BF97" s="48"/>
    </row>
    <row r="98" spans="1:59" ht="15" thickBot="1" x14ac:dyDescent="0.4">
      <c r="A98" s="50" t="s">
        <v>333</v>
      </c>
      <c r="B98" s="51" t="s">
        <v>340</v>
      </c>
      <c r="C98" s="51" t="s">
        <v>342</v>
      </c>
      <c r="D98" s="51" t="s">
        <v>343</v>
      </c>
      <c r="F98" t="s">
        <v>359</v>
      </c>
      <c r="G98" s="21">
        <v>44755</v>
      </c>
      <c r="H98" s="49">
        <v>-40</v>
      </c>
      <c r="I98" t="s">
        <v>387</v>
      </c>
      <c r="K98" t="s">
        <v>1385</v>
      </c>
      <c r="L98" s="21">
        <v>44788</v>
      </c>
      <c r="M98" s="48">
        <v>-22.67</v>
      </c>
      <c r="U98" t="s">
        <v>367</v>
      </c>
      <c r="V98" s="21">
        <v>44840</v>
      </c>
      <c r="W98" s="48">
        <v>-15</v>
      </c>
      <c r="Z98" t="s">
        <v>1385</v>
      </c>
      <c r="AA98" s="21">
        <v>44875</v>
      </c>
      <c r="AB98" s="48">
        <v>-22.67</v>
      </c>
      <c r="AE98" t="s">
        <v>519</v>
      </c>
      <c r="AF98" s="21">
        <v>44890</v>
      </c>
      <c r="AG98" s="48">
        <v>-122.38</v>
      </c>
      <c r="AJ98" t="s">
        <v>1385</v>
      </c>
      <c r="AK98" s="21">
        <v>44928</v>
      </c>
      <c r="AL98" s="48">
        <v>-35.83</v>
      </c>
      <c r="AO98" t="s">
        <v>1385</v>
      </c>
      <c r="AP98" s="21">
        <v>44960</v>
      </c>
      <c r="AQ98" s="48">
        <v>-28.47</v>
      </c>
      <c r="AV98" s="48"/>
      <c r="AY98" t="s">
        <v>157</v>
      </c>
      <c r="AZ98" s="21">
        <v>45020</v>
      </c>
      <c r="BA98" s="48">
        <v>-6</v>
      </c>
      <c r="BE98" s="2"/>
      <c r="BF98" s="55">
        <f>SUM(BF96:BF97)</f>
        <v>-31.63</v>
      </c>
    </row>
    <row r="99" spans="1:59" x14ac:dyDescent="0.35">
      <c r="A99" t="s">
        <v>378</v>
      </c>
      <c r="B99" s="2"/>
      <c r="C99" s="48"/>
      <c r="G99" s="2"/>
      <c r="H99" s="48">
        <f>SUM(H89:H98)</f>
        <v>-191</v>
      </c>
      <c r="K99" t="s">
        <v>1385</v>
      </c>
      <c r="L99" s="21">
        <v>44794</v>
      </c>
      <c r="M99" s="48">
        <v>-22.67</v>
      </c>
      <c r="U99" t="s">
        <v>370</v>
      </c>
      <c r="V99" s="21">
        <v>44841</v>
      </c>
      <c r="W99" s="48">
        <v>-15</v>
      </c>
      <c r="Z99" t="s">
        <v>1385</v>
      </c>
      <c r="AA99" s="21">
        <v>44881</v>
      </c>
      <c r="AB99" s="48">
        <v>-22.67</v>
      </c>
      <c r="AE99" t="s">
        <v>520</v>
      </c>
      <c r="AF99" s="21">
        <v>44891</v>
      </c>
      <c r="AG99" s="48">
        <v>-48.08</v>
      </c>
      <c r="AJ99" t="s">
        <v>1385</v>
      </c>
      <c r="AK99" s="21">
        <v>44932</v>
      </c>
      <c r="AL99" s="48">
        <v>-24.71</v>
      </c>
      <c r="AO99" t="s">
        <v>1385</v>
      </c>
      <c r="AP99" s="21">
        <v>44967</v>
      </c>
      <c r="AQ99" s="48">
        <v>-56.95</v>
      </c>
      <c r="AT99" s="52" t="s">
        <v>335</v>
      </c>
      <c r="AU99" s="53" t="s">
        <v>340</v>
      </c>
      <c r="AV99" s="53" t="s">
        <v>342</v>
      </c>
      <c r="AW99" s="53" t="s">
        <v>343</v>
      </c>
      <c r="AY99" t="s">
        <v>157</v>
      </c>
      <c r="AZ99" s="21">
        <v>45021</v>
      </c>
      <c r="BA99" s="48">
        <v>-5</v>
      </c>
      <c r="BF99" s="48"/>
    </row>
    <row r="100" spans="1:59" ht="15" thickBot="1" x14ac:dyDescent="0.4">
      <c r="A100" t="s">
        <v>370</v>
      </c>
      <c r="B100" s="21">
        <v>44715</v>
      </c>
      <c r="C100" s="48">
        <v>-26</v>
      </c>
      <c r="K100" t="s">
        <v>1385</v>
      </c>
      <c r="L100" s="21">
        <v>44800</v>
      </c>
      <c r="M100" s="49">
        <v>0</v>
      </c>
      <c r="N100" t="s">
        <v>421</v>
      </c>
      <c r="P100" s="50" t="s">
        <v>335</v>
      </c>
      <c r="Q100" s="51" t="s">
        <v>340</v>
      </c>
      <c r="R100" s="53" t="s">
        <v>342</v>
      </c>
      <c r="S100" s="51" t="s">
        <v>343</v>
      </c>
      <c r="U100" t="s">
        <v>359</v>
      </c>
      <c r="V100" s="21">
        <v>44842</v>
      </c>
      <c r="W100" s="48">
        <v>-40</v>
      </c>
      <c r="Z100" t="s">
        <v>1385</v>
      </c>
      <c r="AA100" s="21">
        <v>44888</v>
      </c>
      <c r="AB100" s="48">
        <v>-22.67</v>
      </c>
      <c r="AE100" t="s">
        <v>521</v>
      </c>
      <c r="AF100" s="21">
        <v>44892</v>
      </c>
      <c r="AG100" s="48">
        <v>-71.75</v>
      </c>
      <c r="AJ100" t="s">
        <v>1385</v>
      </c>
      <c r="AK100" s="21">
        <v>44935</v>
      </c>
      <c r="AL100" s="48">
        <v>-21.49</v>
      </c>
      <c r="AO100" t="s">
        <v>1385</v>
      </c>
      <c r="AP100" s="21">
        <v>44968</v>
      </c>
      <c r="AQ100" s="48">
        <v>-8.43</v>
      </c>
      <c r="AR100" t="s">
        <v>513</v>
      </c>
      <c r="AT100" t="s">
        <v>566</v>
      </c>
      <c r="AU100" s="21">
        <v>44989</v>
      </c>
      <c r="AV100" s="48">
        <v>-24</v>
      </c>
      <c r="AW100" t="s">
        <v>560</v>
      </c>
      <c r="AY100" t="s">
        <v>156</v>
      </c>
      <c r="AZ100" s="21">
        <v>45023</v>
      </c>
      <c r="BA100" s="48">
        <v>-10</v>
      </c>
      <c r="BF100" s="48"/>
    </row>
    <row r="101" spans="1:59" ht="15" thickBot="1" x14ac:dyDescent="0.4">
      <c r="A101" t="s">
        <v>383</v>
      </c>
      <c r="B101" s="21">
        <v>44716</v>
      </c>
      <c r="C101" s="48">
        <v>-26</v>
      </c>
      <c r="L101" s="2"/>
      <c r="M101" s="48">
        <f>SUM(M95:M100)</f>
        <v>-201.00000000000006</v>
      </c>
      <c r="P101" t="s">
        <v>429</v>
      </c>
      <c r="Q101" s="21">
        <v>44832</v>
      </c>
      <c r="R101" s="48">
        <v>-27</v>
      </c>
      <c r="U101" t="s">
        <v>580</v>
      </c>
      <c r="V101" s="21"/>
      <c r="W101" s="48"/>
      <c r="Z101" t="s">
        <v>1385</v>
      </c>
      <c r="AA101" s="21">
        <v>44894</v>
      </c>
      <c r="AB101" s="49">
        <v>-22.67</v>
      </c>
      <c r="AE101" t="s">
        <v>522</v>
      </c>
      <c r="AF101" s="21">
        <v>44894</v>
      </c>
      <c r="AG101" s="48">
        <v>-59.08</v>
      </c>
      <c r="AJ101" t="s">
        <v>1385</v>
      </c>
      <c r="AK101" s="21">
        <v>44938</v>
      </c>
      <c r="AL101" s="48">
        <v>-24.71</v>
      </c>
      <c r="AO101" t="s">
        <v>1385</v>
      </c>
      <c r="AP101" s="21">
        <v>44978</v>
      </c>
      <c r="AQ101" s="48">
        <v>-44.32</v>
      </c>
      <c r="AR101" t="s">
        <v>556</v>
      </c>
      <c r="AT101" t="s">
        <v>511</v>
      </c>
      <c r="AU101" s="21">
        <v>44997</v>
      </c>
      <c r="AV101" s="48">
        <v>-23</v>
      </c>
      <c r="AY101" t="s">
        <v>157</v>
      </c>
      <c r="AZ101" s="21">
        <v>45026</v>
      </c>
      <c r="BA101" s="48">
        <v>-6.44</v>
      </c>
      <c r="BD101" s="157" t="s">
        <v>442</v>
      </c>
      <c r="BE101" s="51" t="s">
        <v>340</v>
      </c>
      <c r="BF101" s="53" t="s">
        <v>342</v>
      </c>
      <c r="BG101" s="51" t="s">
        <v>343</v>
      </c>
    </row>
    <row r="102" spans="1:59" ht="15" thickBot="1" x14ac:dyDescent="0.4">
      <c r="A102" t="s">
        <v>384</v>
      </c>
      <c r="B102" s="2"/>
      <c r="C102" s="48"/>
      <c r="F102" s="50" t="s">
        <v>335</v>
      </c>
      <c r="G102" s="51" t="s">
        <v>340</v>
      </c>
      <c r="H102" s="53" t="s">
        <v>342</v>
      </c>
      <c r="I102" s="51" t="s">
        <v>343</v>
      </c>
      <c r="L102" s="2"/>
      <c r="M102" s="48"/>
      <c r="Q102" s="21"/>
      <c r="R102" s="49"/>
      <c r="U102" t="s">
        <v>359</v>
      </c>
      <c r="V102" s="21">
        <v>44849</v>
      </c>
      <c r="W102" s="48">
        <v>-20</v>
      </c>
      <c r="AA102" s="2"/>
      <c r="AB102" s="48">
        <f>SUM(AB96:AB101)</f>
        <v>-313.35000000000008</v>
      </c>
      <c r="AE102" t="s">
        <v>523</v>
      </c>
      <c r="AF102" s="21">
        <v>44895</v>
      </c>
      <c r="AG102" s="48">
        <v>-55.99</v>
      </c>
      <c r="AJ102" t="s">
        <v>1385</v>
      </c>
      <c r="AK102" s="21">
        <v>44946</v>
      </c>
      <c r="AL102" s="48">
        <v>-22.67</v>
      </c>
      <c r="AO102" t="s">
        <v>1385</v>
      </c>
      <c r="AP102" s="21">
        <v>44985</v>
      </c>
      <c r="AQ102" s="49">
        <v>-10.54</v>
      </c>
      <c r="AR102" t="s">
        <v>558</v>
      </c>
      <c r="AT102" t="s">
        <v>511</v>
      </c>
      <c r="AU102" s="21">
        <v>44997</v>
      </c>
      <c r="AV102" s="48">
        <v>-10</v>
      </c>
      <c r="AY102" t="s">
        <v>157</v>
      </c>
      <c r="AZ102" s="21">
        <v>45028</v>
      </c>
      <c r="BA102" s="48">
        <v>-5</v>
      </c>
      <c r="BE102" s="21"/>
      <c r="BF102" s="48"/>
    </row>
    <row r="103" spans="1:59" ht="15" thickBot="1" x14ac:dyDescent="0.4">
      <c r="A103" t="s">
        <v>359</v>
      </c>
      <c r="B103" s="21">
        <v>44723</v>
      </c>
      <c r="C103" s="48">
        <v>-28</v>
      </c>
      <c r="F103" t="s">
        <v>423</v>
      </c>
      <c r="G103" s="21">
        <v>44744</v>
      </c>
      <c r="H103" s="48">
        <v>-33.78</v>
      </c>
      <c r="L103" s="2"/>
      <c r="M103" s="48"/>
      <c r="Q103" s="2"/>
      <c r="R103" s="48">
        <f>SUM(R101:R102)</f>
        <v>-27</v>
      </c>
      <c r="U103" t="s">
        <v>373</v>
      </c>
      <c r="V103" s="2"/>
      <c r="W103" s="48"/>
      <c r="AA103" s="2"/>
      <c r="AB103" s="48"/>
      <c r="AE103" t="s">
        <v>520</v>
      </c>
      <c r="AF103" s="21">
        <v>44899</v>
      </c>
      <c r="AG103" s="48">
        <v>-169.48</v>
      </c>
      <c r="AJ103" t="s">
        <v>1385</v>
      </c>
      <c r="AK103" s="21">
        <v>44952</v>
      </c>
      <c r="AL103" s="49">
        <v>-28.46</v>
      </c>
      <c r="AQ103" s="48">
        <f>SUM(AQ98:AQ102)</f>
        <v>-148.70999999999998</v>
      </c>
      <c r="AT103" t="s">
        <v>862</v>
      </c>
      <c r="AU103" s="21">
        <v>45000</v>
      </c>
      <c r="AV103" s="48">
        <v>-10</v>
      </c>
      <c r="AY103" t="s">
        <v>156</v>
      </c>
      <c r="AZ103" s="21">
        <v>45030</v>
      </c>
      <c r="BA103" s="48">
        <v>-10</v>
      </c>
      <c r="BE103" s="21"/>
      <c r="BF103" s="49"/>
    </row>
    <row r="104" spans="1:59" ht="15" thickBot="1" x14ac:dyDescent="0.4">
      <c r="A104" t="s">
        <v>388</v>
      </c>
      <c r="B104" s="2"/>
      <c r="C104" s="48"/>
      <c r="F104" t="s">
        <v>425</v>
      </c>
      <c r="G104" s="21">
        <v>44755</v>
      </c>
      <c r="H104" s="48">
        <v>-170</v>
      </c>
      <c r="K104" s="50" t="s">
        <v>442</v>
      </c>
      <c r="L104" s="51" t="s">
        <v>340</v>
      </c>
      <c r="M104" s="51" t="s">
        <v>342</v>
      </c>
      <c r="N104" s="51" t="s">
        <v>343</v>
      </c>
      <c r="Q104" s="2"/>
      <c r="R104" s="48"/>
      <c r="U104" t="s">
        <v>359</v>
      </c>
      <c r="V104" s="21">
        <v>44856</v>
      </c>
      <c r="W104" s="49">
        <v>-20</v>
      </c>
      <c r="AA104" s="2"/>
      <c r="AB104" s="48"/>
      <c r="AE104" t="s">
        <v>524</v>
      </c>
      <c r="AF104" s="21">
        <v>44908</v>
      </c>
      <c r="AG104" s="48">
        <v>-40</v>
      </c>
      <c r="AH104" t="s">
        <v>525</v>
      </c>
      <c r="AL104" s="48">
        <f>SUM(AL96:AL103)</f>
        <v>-385.86999999999995</v>
      </c>
      <c r="AQ104" s="48"/>
      <c r="AT104" t="s">
        <v>862</v>
      </c>
      <c r="AU104" s="21">
        <v>45003</v>
      </c>
      <c r="AV104" s="48">
        <v>-10</v>
      </c>
      <c r="AY104" t="s">
        <v>159</v>
      </c>
      <c r="AZ104" s="21">
        <v>45032</v>
      </c>
      <c r="BA104" s="48">
        <v>-3</v>
      </c>
      <c r="BE104" s="2"/>
      <c r="BF104" s="55">
        <f>SUM(BF102:BF103)</f>
        <v>0</v>
      </c>
    </row>
    <row r="105" spans="1:59" x14ac:dyDescent="0.35">
      <c r="A105" t="s">
        <v>359</v>
      </c>
      <c r="B105" s="21">
        <v>44730</v>
      </c>
      <c r="C105" s="48">
        <v>-28</v>
      </c>
      <c r="F105" t="s">
        <v>428</v>
      </c>
      <c r="G105" s="21">
        <v>44762</v>
      </c>
      <c r="H105" s="48">
        <v>-26</v>
      </c>
      <c r="L105" s="21"/>
      <c r="M105" s="48"/>
      <c r="Q105" s="2"/>
      <c r="R105" s="48"/>
      <c r="V105" s="2"/>
      <c r="W105" s="48">
        <f>SUM(W97:W104)</f>
        <v>-110</v>
      </c>
      <c r="Z105" s="50" t="s">
        <v>442</v>
      </c>
      <c r="AA105" s="51" t="s">
        <v>340</v>
      </c>
      <c r="AB105" s="51" t="s">
        <v>342</v>
      </c>
      <c r="AC105" s="51" t="s">
        <v>343</v>
      </c>
      <c r="AE105" t="s">
        <v>526</v>
      </c>
      <c r="AF105" s="21">
        <v>44908</v>
      </c>
      <c r="AG105" s="48">
        <v>-48.48</v>
      </c>
      <c r="AH105" t="s">
        <v>527</v>
      </c>
      <c r="AL105" s="48"/>
      <c r="AQ105" s="48"/>
      <c r="AT105" t="s">
        <v>566</v>
      </c>
      <c r="AU105" s="21">
        <v>45008</v>
      </c>
      <c r="AV105" s="48">
        <v>-14.4</v>
      </c>
      <c r="AY105" t="s">
        <v>157</v>
      </c>
      <c r="AZ105" s="21">
        <v>45032</v>
      </c>
      <c r="BA105" s="48">
        <v>-5.0599999999999996</v>
      </c>
      <c r="BF105" s="48"/>
    </row>
    <row r="106" spans="1:59" ht="15" thickBot="1" x14ac:dyDescent="0.4">
      <c r="A106" t="s">
        <v>392</v>
      </c>
      <c r="B106" s="2"/>
      <c r="C106" s="48"/>
      <c r="F106" t="s">
        <v>430</v>
      </c>
      <c r="G106" s="21">
        <v>44772</v>
      </c>
      <c r="H106" s="48">
        <v>-25</v>
      </c>
      <c r="L106" s="21"/>
      <c r="M106" s="49"/>
      <c r="P106" s="50" t="s">
        <v>337</v>
      </c>
      <c r="Q106" s="51" t="s">
        <v>340</v>
      </c>
      <c r="R106" s="53" t="s">
        <v>342</v>
      </c>
      <c r="S106" s="51" t="s">
        <v>343</v>
      </c>
      <c r="AA106" s="21"/>
      <c r="AB106" s="48"/>
      <c r="AE106" t="s">
        <v>528</v>
      </c>
      <c r="AF106" s="21">
        <v>44908</v>
      </c>
      <c r="AG106" s="48">
        <v>-34.57</v>
      </c>
      <c r="AH106" t="s">
        <v>529</v>
      </c>
      <c r="AL106" s="48"/>
      <c r="AO106" s="50" t="s">
        <v>442</v>
      </c>
      <c r="AP106" s="51" t="s">
        <v>340</v>
      </c>
      <c r="AQ106" s="51" t="s">
        <v>342</v>
      </c>
      <c r="AR106" s="51" t="s">
        <v>343</v>
      </c>
      <c r="AT106" t="s">
        <v>868</v>
      </c>
      <c r="AU106" s="21">
        <v>45009</v>
      </c>
      <c r="AV106" s="48">
        <v>-27</v>
      </c>
      <c r="AY106" t="s">
        <v>157</v>
      </c>
      <c r="AZ106" s="21">
        <v>45035</v>
      </c>
      <c r="BA106" s="48">
        <v>-5</v>
      </c>
      <c r="BF106" s="48"/>
    </row>
    <row r="107" spans="1:59" ht="15" thickBot="1" x14ac:dyDescent="0.4">
      <c r="A107" t="s">
        <v>379</v>
      </c>
      <c r="B107" s="21">
        <v>44734</v>
      </c>
      <c r="C107" s="48">
        <v>-20</v>
      </c>
      <c r="F107" t="s">
        <v>431</v>
      </c>
      <c r="G107" s="21">
        <v>44772</v>
      </c>
      <c r="H107" s="48">
        <v>-25</v>
      </c>
      <c r="L107" s="2"/>
      <c r="M107" s="48">
        <f>SUM(M105:M106)</f>
        <v>0</v>
      </c>
      <c r="P107" t="s">
        <v>436</v>
      </c>
      <c r="Q107" s="21">
        <v>44821</v>
      </c>
      <c r="R107" s="48">
        <v>-62.33</v>
      </c>
      <c r="AA107" s="21"/>
      <c r="AB107" s="49"/>
      <c r="AE107" t="s">
        <v>530</v>
      </c>
      <c r="AF107" s="21">
        <v>44908</v>
      </c>
      <c r="AG107" s="48">
        <v>-27.41</v>
      </c>
      <c r="AH107" t="s">
        <v>531</v>
      </c>
      <c r="AJ107" s="50" t="s">
        <v>442</v>
      </c>
      <c r="AK107" s="51" t="s">
        <v>340</v>
      </c>
      <c r="AL107" s="51" t="s">
        <v>342</v>
      </c>
      <c r="AM107" s="51" t="s">
        <v>343</v>
      </c>
      <c r="AO107" t="s">
        <v>555</v>
      </c>
      <c r="AP107" s="21"/>
      <c r="AQ107" s="48">
        <v>-2166</v>
      </c>
      <c r="AU107" s="2"/>
      <c r="AV107" s="55">
        <f>SUM(AV100:AV106)</f>
        <v>-118.4</v>
      </c>
      <c r="AY107" t="s">
        <v>156</v>
      </c>
      <c r="AZ107" s="21">
        <v>45037</v>
      </c>
      <c r="BA107" s="48">
        <v>-10</v>
      </c>
      <c r="BD107" s="156" t="s">
        <v>339</v>
      </c>
      <c r="BE107" s="53" t="s">
        <v>340</v>
      </c>
      <c r="BF107" s="53" t="s">
        <v>342</v>
      </c>
      <c r="BG107" s="53" t="s">
        <v>343</v>
      </c>
    </row>
    <row r="108" spans="1:59" ht="15" thickBot="1" x14ac:dyDescent="0.4">
      <c r="A108" t="s">
        <v>367</v>
      </c>
      <c r="B108" s="21">
        <v>44735</v>
      </c>
      <c r="C108" s="48">
        <v>-11</v>
      </c>
      <c r="F108" t="s">
        <v>434</v>
      </c>
      <c r="G108" s="21">
        <v>44772</v>
      </c>
      <c r="H108" s="49">
        <v>-19</v>
      </c>
      <c r="L108" s="2"/>
      <c r="M108" s="48"/>
      <c r="Q108" s="2"/>
      <c r="R108" s="49"/>
      <c r="U108" s="50" t="s">
        <v>335</v>
      </c>
      <c r="V108" s="51" t="s">
        <v>340</v>
      </c>
      <c r="W108" s="53" t="s">
        <v>342</v>
      </c>
      <c r="X108" s="51" t="s">
        <v>343</v>
      </c>
      <c r="AA108" s="2"/>
      <c r="AB108" s="48">
        <f>SUM(AB106:AB107)</f>
        <v>0</v>
      </c>
      <c r="AE108" t="s">
        <v>532</v>
      </c>
      <c r="AF108" s="21">
        <v>44908</v>
      </c>
      <c r="AG108" s="48">
        <v>-25</v>
      </c>
      <c r="AH108" t="s">
        <v>533</v>
      </c>
      <c r="AK108" s="21"/>
      <c r="AL108" s="48"/>
      <c r="AP108" s="21"/>
      <c r="AQ108" s="49"/>
      <c r="AU108" s="2"/>
      <c r="AV108" s="48"/>
      <c r="AY108" t="s">
        <v>157</v>
      </c>
      <c r="AZ108" s="21">
        <v>45039</v>
      </c>
      <c r="BA108" s="48">
        <v>-5.22</v>
      </c>
      <c r="BD108" s="38" t="s">
        <v>157</v>
      </c>
      <c r="BE108" s="21">
        <v>45048</v>
      </c>
      <c r="BF108" s="48">
        <v>-5.65</v>
      </c>
    </row>
    <row r="109" spans="1:59" ht="15" thickBot="1" x14ac:dyDescent="0.4">
      <c r="A109" t="s">
        <v>370</v>
      </c>
      <c r="B109" s="21">
        <v>44736</v>
      </c>
      <c r="C109" s="48">
        <v>-10</v>
      </c>
      <c r="G109" s="2"/>
      <c r="H109" s="48">
        <f>SUM(H103:H108)</f>
        <v>-298.77999999999997</v>
      </c>
      <c r="L109" s="2"/>
      <c r="M109" s="48"/>
      <c r="Q109" s="2"/>
      <c r="R109" s="48">
        <f>SUM(R107:R108)</f>
        <v>-62.33</v>
      </c>
      <c r="U109" t="s">
        <v>432</v>
      </c>
      <c r="V109" s="21">
        <v>44848</v>
      </c>
      <c r="W109" s="49">
        <v>-48.38</v>
      </c>
      <c r="X109" t="s">
        <v>433</v>
      </c>
      <c r="AA109" s="2"/>
      <c r="AB109" s="48"/>
      <c r="AE109" t="s">
        <v>534</v>
      </c>
      <c r="AF109" s="21">
        <v>44909</v>
      </c>
      <c r="AG109" s="48">
        <v>-52.65</v>
      </c>
      <c r="AH109" t="s">
        <v>336</v>
      </c>
      <c r="AK109" s="21"/>
      <c r="AL109" s="49"/>
      <c r="AQ109" s="48">
        <f>SUM(AQ107:AQ108)</f>
        <v>-2166</v>
      </c>
      <c r="AU109" s="2"/>
      <c r="AV109" s="48"/>
      <c r="AY109" t="s">
        <v>233</v>
      </c>
      <c r="AZ109" s="21">
        <v>45042</v>
      </c>
      <c r="BA109" s="48">
        <v>-34.950000000000003</v>
      </c>
      <c r="BD109" s="38" t="s">
        <v>157</v>
      </c>
      <c r="BE109" s="21">
        <v>45049</v>
      </c>
      <c r="BF109" s="48">
        <v>-5</v>
      </c>
    </row>
    <row r="110" spans="1:59" ht="15" thickBot="1" x14ac:dyDescent="0.4">
      <c r="A110" t="s">
        <v>359</v>
      </c>
      <c r="B110" s="21">
        <v>44737</v>
      </c>
      <c r="C110" s="49">
        <v>-24</v>
      </c>
      <c r="G110" s="2"/>
      <c r="H110" s="48"/>
      <c r="K110" s="50" t="s">
        <v>339</v>
      </c>
      <c r="L110" s="51" t="s">
        <v>340</v>
      </c>
      <c r="M110" s="53" t="s">
        <v>342</v>
      </c>
      <c r="N110" s="51" t="s">
        <v>343</v>
      </c>
      <c r="Q110" s="2"/>
      <c r="R110" s="48"/>
      <c r="V110" s="2"/>
      <c r="W110" s="48">
        <v>-48.38</v>
      </c>
      <c r="AA110" s="2"/>
      <c r="AB110" s="48"/>
      <c r="AE110" t="s">
        <v>536</v>
      </c>
      <c r="AF110" s="21">
        <v>44909</v>
      </c>
      <c r="AG110" s="48">
        <v>-89.68</v>
      </c>
      <c r="AH110" t="s">
        <v>537</v>
      </c>
      <c r="AL110" s="48">
        <f>SUM(AL108:AL109)</f>
        <v>0</v>
      </c>
      <c r="AQ110" s="48"/>
      <c r="AT110" s="52" t="s">
        <v>337</v>
      </c>
      <c r="AU110" s="53" t="s">
        <v>340</v>
      </c>
      <c r="AV110" s="53" t="s">
        <v>342</v>
      </c>
      <c r="AW110" s="53" t="s">
        <v>343</v>
      </c>
      <c r="AY110" t="s">
        <v>557</v>
      </c>
      <c r="AZ110" s="21">
        <v>45042</v>
      </c>
      <c r="BA110" s="48">
        <v>-4.5</v>
      </c>
      <c r="BD110" s="38" t="s">
        <v>157</v>
      </c>
      <c r="BE110" s="21">
        <v>45050</v>
      </c>
      <c r="BF110" s="48">
        <v>-3</v>
      </c>
    </row>
    <row r="111" spans="1:59" ht="15" thickBot="1" x14ac:dyDescent="0.4">
      <c r="B111" s="2"/>
      <c r="C111" s="48">
        <f>SUM(C99:C110)</f>
        <v>-173</v>
      </c>
      <c r="G111" s="2"/>
      <c r="H111" s="48"/>
      <c r="K111" t="s">
        <v>157</v>
      </c>
      <c r="L111" s="21">
        <v>44776</v>
      </c>
      <c r="M111" s="48">
        <v>-5</v>
      </c>
      <c r="P111" s="50" t="s">
        <v>1218</v>
      </c>
      <c r="Q111" s="51" t="s">
        <v>340</v>
      </c>
      <c r="R111" s="53" t="s">
        <v>342</v>
      </c>
      <c r="S111" s="51" t="s">
        <v>343</v>
      </c>
      <c r="V111" s="2"/>
      <c r="W111" s="48"/>
      <c r="Z111" s="52" t="s">
        <v>339</v>
      </c>
      <c r="AA111" s="53" t="s">
        <v>340</v>
      </c>
      <c r="AB111" s="53" t="s">
        <v>342</v>
      </c>
      <c r="AC111" s="53" t="s">
        <v>343</v>
      </c>
      <c r="AE111" t="s">
        <v>538</v>
      </c>
      <c r="AF111" s="21">
        <v>44911</v>
      </c>
      <c r="AG111" s="48">
        <v>-42.2</v>
      </c>
      <c r="AH111" t="s">
        <v>539</v>
      </c>
      <c r="AL111" s="48"/>
      <c r="AQ111" s="48"/>
      <c r="AT111" t="s">
        <v>864</v>
      </c>
      <c r="AU111" s="21">
        <v>45004</v>
      </c>
      <c r="AV111" s="48">
        <v>-58.38</v>
      </c>
      <c r="AY111" t="s">
        <v>157</v>
      </c>
      <c r="AZ111" s="21">
        <v>45042</v>
      </c>
      <c r="BA111" s="48">
        <v>-5</v>
      </c>
      <c r="BD111" s="38" t="s">
        <v>156</v>
      </c>
      <c r="BE111" s="21">
        <v>45051</v>
      </c>
      <c r="BF111" s="48">
        <v>-10</v>
      </c>
    </row>
    <row r="112" spans="1:59" ht="15" thickBot="1" x14ac:dyDescent="0.4">
      <c r="F112" s="50" t="s">
        <v>337</v>
      </c>
      <c r="G112" s="51" t="s">
        <v>340</v>
      </c>
      <c r="H112" s="53" t="s">
        <v>342</v>
      </c>
      <c r="I112" s="51" t="s">
        <v>343</v>
      </c>
      <c r="K112" t="s">
        <v>157</v>
      </c>
      <c r="L112" s="21">
        <v>44777</v>
      </c>
      <c r="M112" s="48">
        <v>-3</v>
      </c>
      <c r="P112" t="s">
        <v>1385</v>
      </c>
      <c r="Q112" s="21">
        <v>44805</v>
      </c>
      <c r="R112" s="48">
        <v>-115</v>
      </c>
      <c r="S112">
        <v>5.8928571429999996</v>
      </c>
      <c r="V112" s="2"/>
      <c r="W112" s="48"/>
      <c r="Z112" t="s">
        <v>157</v>
      </c>
      <c r="AA112" s="21">
        <v>44868</v>
      </c>
      <c r="AB112" s="48">
        <v>-5</v>
      </c>
      <c r="AE112" t="s">
        <v>540</v>
      </c>
      <c r="AF112" s="21">
        <v>44918</v>
      </c>
      <c r="AG112" s="49">
        <v>-10</v>
      </c>
      <c r="AH112" t="s">
        <v>533</v>
      </c>
      <c r="AL112" s="48"/>
      <c r="AO112" s="52" t="s">
        <v>339</v>
      </c>
      <c r="AP112" s="53" t="s">
        <v>340</v>
      </c>
      <c r="AQ112" s="53" t="s">
        <v>342</v>
      </c>
      <c r="AR112" s="53" t="s">
        <v>343</v>
      </c>
      <c r="AU112" s="2"/>
      <c r="AV112" s="55">
        <f>SUM(AV111:AV111)</f>
        <v>-58.38</v>
      </c>
      <c r="AY112" t="s">
        <v>156</v>
      </c>
      <c r="AZ112" s="21">
        <v>45044</v>
      </c>
      <c r="BA112" s="48">
        <v>-10</v>
      </c>
      <c r="BD112" s="38" t="s">
        <v>157</v>
      </c>
      <c r="BE112" s="21">
        <v>45056</v>
      </c>
      <c r="BF112" s="48">
        <v>-5</v>
      </c>
    </row>
    <row r="113" spans="1:58" ht="15" thickBot="1" x14ac:dyDescent="0.4">
      <c r="F113" t="s">
        <v>438</v>
      </c>
      <c r="G113" s="21">
        <v>44758</v>
      </c>
      <c r="H113" s="48">
        <v>50</v>
      </c>
      <c r="K113" t="s">
        <v>156</v>
      </c>
      <c r="L113" s="21">
        <v>44778</v>
      </c>
      <c r="M113" s="48">
        <v>-10</v>
      </c>
      <c r="P113" t="s">
        <v>1385</v>
      </c>
      <c r="Q113" s="21">
        <v>44807</v>
      </c>
      <c r="R113" s="48">
        <v>-30</v>
      </c>
      <c r="S113" t="s">
        <v>441</v>
      </c>
      <c r="U113" s="50" t="s">
        <v>337</v>
      </c>
      <c r="V113" s="51" t="s">
        <v>340</v>
      </c>
      <c r="W113" s="53" t="s">
        <v>342</v>
      </c>
      <c r="X113" s="51" t="s">
        <v>343</v>
      </c>
      <c r="Z113" t="s">
        <v>156</v>
      </c>
      <c r="AA113" s="21">
        <v>44869</v>
      </c>
      <c r="AB113" s="48">
        <v>-10</v>
      </c>
      <c r="AG113" s="48">
        <f>SUM(AG98:AG112)</f>
        <v>-896.75</v>
      </c>
      <c r="AJ113" s="52" t="s">
        <v>339</v>
      </c>
      <c r="AK113" s="53" t="s">
        <v>340</v>
      </c>
      <c r="AL113" s="53" t="s">
        <v>342</v>
      </c>
      <c r="AM113" s="53" t="s">
        <v>343</v>
      </c>
      <c r="AO113" t="s">
        <v>157</v>
      </c>
      <c r="AP113" s="21">
        <v>44958</v>
      </c>
      <c r="AQ113" s="48">
        <v>-5</v>
      </c>
      <c r="AU113" s="2"/>
      <c r="AV113" s="48"/>
      <c r="AY113" t="s">
        <v>931</v>
      </c>
      <c r="AZ113" s="21">
        <v>45046</v>
      </c>
      <c r="BA113" s="49">
        <v>-19</v>
      </c>
      <c r="BD113" s="38" t="s">
        <v>157</v>
      </c>
      <c r="BE113" s="21">
        <v>45057</v>
      </c>
      <c r="BF113" s="48">
        <v>-6.46</v>
      </c>
    </row>
    <row r="114" spans="1:58" ht="15" thickBot="1" x14ac:dyDescent="0.4">
      <c r="A114" s="50" t="s">
        <v>335</v>
      </c>
      <c r="B114" s="51" t="s">
        <v>340</v>
      </c>
      <c r="C114" s="51" t="s">
        <v>342</v>
      </c>
      <c r="D114" s="51" t="s">
        <v>343</v>
      </c>
      <c r="G114" s="21"/>
      <c r="H114" s="49"/>
      <c r="K114" t="s">
        <v>157</v>
      </c>
      <c r="L114" s="21">
        <v>44783</v>
      </c>
      <c r="M114" s="48">
        <v>-5</v>
      </c>
      <c r="P114" t="s">
        <v>1385</v>
      </c>
      <c r="Q114" s="21">
        <v>44807</v>
      </c>
      <c r="R114" s="48">
        <v>-22.67</v>
      </c>
      <c r="U114" t="s">
        <v>437</v>
      </c>
      <c r="V114" s="21">
        <v>44837</v>
      </c>
      <c r="W114" s="49">
        <v>-23.04</v>
      </c>
      <c r="Z114" t="s">
        <v>157</v>
      </c>
      <c r="AA114" s="21">
        <v>44872</v>
      </c>
      <c r="AB114" s="48">
        <v>-3</v>
      </c>
      <c r="AG114" s="48"/>
      <c r="AJ114" t="s">
        <v>535</v>
      </c>
      <c r="AK114" s="21">
        <v>44928</v>
      </c>
      <c r="AL114" s="48">
        <v>-14.99</v>
      </c>
      <c r="AO114" t="s">
        <v>157</v>
      </c>
      <c r="AP114" s="21">
        <v>44958</v>
      </c>
      <c r="AQ114" s="48">
        <v>-5.89</v>
      </c>
      <c r="AU114" s="2"/>
      <c r="AV114" s="48"/>
      <c r="AZ114" s="2"/>
      <c r="BA114" s="55">
        <f>SUM(BA97:BA113)</f>
        <v>-147.17000000000002</v>
      </c>
      <c r="BD114" s="38" t="s">
        <v>962</v>
      </c>
      <c r="BE114" s="21">
        <v>45061</v>
      </c>
      <c r="BF114" s="48">
        <v>-3</v>
      </c>
    </row>
    <row r="115" spans="1:58" x14ac:dyDescent="0.35">
      <c r="A115" t="s">
        <v>418</v>
      </c>
      <c r="B115" s="21">
        <v>44734</v>
      </c>
      <c r="C115" s="48">
        <v>-6.25</v>
      </c>
      <c r="G115" s="2"/>
      <c r="H115" s="48">
        <f>SUM(H113:H114)</f>
        <v>50</v>
      </c>
      <c r="K115" t="s">
        <v>156</v>
      </c>
      <c r="L115" s="21">
        <v>44784</v>
      </c>
      <c r="M115" s="48">
        <v>-30</v>
      </c>
      <c r="N115" t="s">
        <v>435</v>
      </c>
      <c r="P115" t="s">
        <v>1385</v>
      </c>
      <c r="Q115" s="21">
        <v>44814</v>
      </c>
      <c r="R115" s="48">
        <v>-22.67</v>
      </c>
      <c r="V115" s="2"/>
      <c r="W115" s="48">
        <v>-23.04</v>
      </c>
      <c r="Z115" t="s">
        <v>157</v>
      </c>
      <c r="AA115" s="21">
        <v>44875</v>
      </c>
      <c r="AB115" s="48">
        <v>-5</v>
      </c>
      <c r="AG115" s="48"/>
      <c r="AJ115" t="s">
        <v>157</v>
      </c>
      <c r="AK115" s="21">
        <v>44930</v>
      </c>
      <c r="AL115" s="48">
        <v>-3</v>
      </c>
      <c r="AO115" t="s">
        <v>516</v>
      </c>
      <c r="AP115" s="21">
        <v>44960</v>
      </c>
      <c r="AQ115" s="48">
        <v>-14.99</v>
      </c>
      <c r="AT115" s="52" t="s">
        <v>1218</v>
      </c>
      <c r="AU115" s="53" t="s">
        <v>340</v>
      </c>
      <c r="AV115" s="53" t="s">
        <v>342</v>
      </c>
      <c r="AW115" s="53" t="s">
        <v>343</v>
      </c>
      <c r="BD115" s="38" t="s">
        <v>157</v>
      </c>
      <c r="BE115" s="21">
        <v>45063</v>
      </c>
      <c r="BF115" s="48">
        <v>-5</v>
      </c>
    </row>
    <row r="116" spans="1:58" ht="15" thickBot="1" x14ac:dyDescent="0.4">
      <c r="C116" s="49"/>
      <c r="G116" s="2"/>
      <c r="H116" s="48"/>
      <c r="K116" t="s">
        <v>156</v>
      </c>
      <c r="L116" s="21">
        <v>44785</v>
      </c>
      <c r="M116" s="48">
        <v>-10</v>
      </c>
      <c r="P116" t="s">
        <v>1385</v>
      </c>
      <c r="Q116" s="21">
        <v>44819</v>
      </c>
      <c r="R116" s="48">
        <v>-22.67</v>
      </c>
      <c r="V116" s="2"/>
      <c r="W116" s="48"/>
      <c r="Z116" t="s">
        <v>156</v>
      </c>
      <c r="AA116" s="21">
        <v>44876</v>
      </c>
      <c r="AB116" s="48">
        <v>-10</v>
      </c>
      <c r="AE116" s="52" t="s">
        <v>1218</v>
      </c>
      <c r="AF116" s="53" t="s">
        <v>340</v>
      </c>
      <c r="AG116" s="53" t="s">
        <v>342</v>
      </c>
      <c r="AH116" s="53" t="s">
        <v>343</v>
      </c>
      <c r="AJ116" t="s">
        <v>157</v>
      </c>
      <c r="AK116" s="21">
        <v>44930</v>
      </c>
      <c r="AL116" s="48">
        <v>-5</v>
      </c>
      <c r="AO116" t="s">
        <v>156</v>
      </c>
      <c r="AP116" s="21">
        <v>44960</v>
      </c>
      <c r="AQ116" s="48">
        <v>-10</v>
      </c>
      <c r="AT116" t="s">
        <v>400</v>
      </c>
      <c r="AU116" s="21">
        <v>44986</v>
      </c>
      <c r="AV116" s="48">
        <v>-33.85</v>
      </c>
      <c r="AW116" t="s">
        <v>560</v>
      </c>
      <c r="BD116" s="38" t="s">
        <v>157</v>
      </c>
      <c r="BE116" s="21">
        <v>45064</v>
      </c>
      <c r="BF116" s="48">
        <v>-5.73</v>
      </c>
    </row>
    <row r="117" spans="1:58" x14ac:dyDescent="0.35">
      <c r="B117" s="2"/>
      <c r="C117" s="48">
        <f>SUM(C115:C116)</f>
        <v>-6.25</v>
      </c>
      <c r="G117" s="2"/>
      <c r="H117" s="48"/>
      <c r="K117" t="s">
        <v>157</v>
      </c>
      <c r="L117" s="21">
        <v>44787</v>
      </c>
      <c r="M117" s="48">
        <v>-3</v>
      </c>
      <c r="P117" t="s">
        <v>1385</v>
      </c>
      <c r="Q117" s="21">
        <v>44825</v>
      </c>
      <c r="R117" s="48">
        <v>-24.78</v>
      </c>
      <c r="V117" s="2"/>
      <c r="W117" s="48"/>
      <c r="Z117" t="s">
        <v>159</v>
      </c>
      <c r="AA117" s="21">
        <v>44880</v>
      </c>
      <c r="AB117" s="48">
        <v>-3</v>
      </c>
      <c r="AE117" t="s">
        <v>1385</v>
      </c>
      <c r="AF117" s="21">
        <v>44909</v>
      </c>
      <c r="AG117" s="48">
        <v>-185</v>
      </c>
      <c r="AH117">
        <v>6.6071428570000004</v>
      </c>
      <c r="AJ117" t="s">
        <v>156</v>
      </c>
      <c r="AK117" s="21">
        <v>44932</v>
      </c>
      <c r="AL117" s="48">
        <v>-10</v>
      </c>
      <c r="AO117" t="s">
        <v>157</v>
      </c>
      <c r="AP117" s="21">
        <v>44962</v>
      </c>
      <c r="AQ117" s="48">
        <v>-3</v>
      </c>
      <c r="AT117" t="s">
        <v>400</v>
      </c>
      <c r="AU117" s="21">
        <v>44989</v>
      </c>
      <c r="AV117" s="48">
        <v>-31.69</v>
      </c>
      <c r="AW117" t="s">
        <v>560</v>
      </c>
      <c r="BD117" s="38" t="s">
        <v>157</v>
      </c>
      <c r="BE117" s="21">
        <v>45070</v>
      </c>
      <c r="BF117" s="48">
        <v>-5</v>
      </c>
    </row>
    <row r="118" spans="1:58" ht="15" thickBot="1" x14ac:dyDescent="0.4">
      <c r="B118" s="2"/>
      <c r="C118" s="48"/>
      <c r="F118" s="50" t="s">
        <v>1218</v>
      </c>
      <c r="G118" s="51" t="s">
        <v>340</v>
      </c>
      <c r="H118" s="53" t="s">
        <v>342</v>
      </c>
      <c r="I118" s="51" t="s">
        <v>343</v>
      </c>
      <c r="K118" t="s">
        <v>156</v>
      </c>
      <c r="L118" s="21">
        <v>44792</v>
      </c>
      <c r="M118" s="48">
        <v>-10</v>
      </c>
      <c r="P118" t="s">
        <v>1385</v>
      </c>
      <c r="Q118" s="21">
        <v>44832</v>
      </c>
      <c r="R118" s="49">
        <v>-22.67</v>
      </c>
      <c r="U118" s="50" t="s">
        <v>1218</v>
      </c>
      <c r="V118" s="51" t="s">
        <v>340</v>
      </c>
      <c r="W118" s="53" t="s">
        <v>342</v>
      </c>
      <c r="X118" s="51" t="s">
        <v>343</v>
      </c>
      <c r="Z118" t="s">
        <v>157</v>
      </c>
      <c r="AA118" s="21">
        <v>44882</v>
      </c>
      <c r="AB118" s="48">
        <v>-5</v>
      </c>
      <c r="AE118" t="s">
        <v>1385</v>
      </c>
      <c r="AF118" s="21">
        <v>44899</v>
      </c>
      <c r="AG118" s="48">
        <v>-22.67</v>
      </c>
      <c r="AJ118" t="s">
        <v>157</v>
      </c>
      <c r="AK118" s="21">
        <v>44937</v>
      </c>
      <c r="AL118" s="48">
        <v>-5</v>
      </c>
      <c r="AO118" t="s">
        <v>157</v>
      </c>
      <c r="AP118" s="21">
        <v>44962</v>
      </c>
      <c r="AQ118" s="48">
        <v>-6.72</v>
      </c>
      <c r="AT118" t="s">
        <v>1385</v>
      </c>
      <c r="AU118" s="21">
        <v>44992</v>
      </c>
      <c r="AV118" s="48">
        <v>-26.99</v>
      </c>
      <c r="BD118" s="38" t="s">
        <v>233</v>
      </c>
      <c r="BE118" s="21">
        <v>45072</v>
      </c>
      <c r="BF118" s="48">
        <v>-34.950000000000003</v>
      </c>
    </row>
    <row r="119" spans="1:58" x14ac:dyDescent="0.35">
      <c r="B119" s="2"/>
      <c r="C119" s="48"/>
      <c r="F119" t="s">
        <v>1385</v>
      </c>
      <c r="G119" s="21">
        <v>44745</v>
      </c>
      <c r="H119" s="48">
        <v>-130</v>
      </c>
      <c r="K119" t="s">
        <v>157</v>
      </c>
      <c r="L119" s="21">
        <v>44797</v>
      </c>
      <c r="M119" s="48">
        <v>-5</v>
      </c>
      <c r="Q119" s="2"/>
      <c r="R119" s="48">
        <f>SUM(R112:R118)</f>
        <v>-260.46000000000004</v>
      </c>
      <c r="U119" t="s">
        <v>1385</v>
      </c>
      <c r="V119" s="21">
        <v>44833</v>
      </c>
      <c r="W119" s="48">
        <v>-160</v>
      </c>
      <c r="X119">
        <v>5.7142857139999998</v>
      </c>
      <c r="Z119" t="s">
        <v>156</v>
      </c>
      <c r="AA119" s="21">
        <v>44883</v>
      </c>
      <c r="AB119" s="48">
        <v>-10</v>
      </c>
      <c r="AE119" t="s">
        <v>1385</v>
      </c>
      <c r="AF119" s="21">
        <v>44906</v>
      </c>
      <c r="AG119" s="48">
        <v>-22.67</v>
      </c>
      <c r="AJ119" t="s">
        <v>156</v>
      </c>
      <c r="AK119" s="21">
        <v>44939</v>
      </c>
      <c r="AL119" s="48">
        <v>-10</v>
      </c>
      <c r="AO119" t="s">
        <v>157</v>
      </c>
      <c r="AP119" s="21">
        <v>44965</v>
      </c>
      <c r="AQ119" s="48">
        <v>-5</v>
      </c>
      <c r="AT119" t="s">
        <v>1385</v>
      </c>
      <c r="AU119" s="21">
        <v>44992</v>
      </c>
      <c r="AV119" s="48">
        <v>-10.53</v>
      </c>
      <c r="BD119" s="38" t="s">
        <v>557</v>
      </c>
      <c r="BE119" s="21">
        <v>45072</v>
      </c>
      <c r="BF119" s="48">
        <v>-4.25</v>
      </c>
    </row>
    <row r="120" spans="1:58" ht="15" thickBot="1" x14ac:dyDescent="0.4">
      <c r="A120" s="50" t="s">
        <v>337</v>
      </c>
      <c r="B120" s="51" t="s">
        <v>340</v>
      </c>
      <c r="C120" s="51" t="s">
        <v>342</v>
      </c>
      <c r="D120" s="51" t="s">
        <v>343</v>
      </c>
      <c r="F120" t="s">
        <v>1385</v>
      </c>
      <c r="G120" s="21">
        <v>44745</v>
      </c>
      <c r="H120" s="48">
        <v>-22.14</v>
      </c>
      <c r="K120" t="s">
        <v>440</v>
      </c>
      <c r="L120" s="21">
        <v>44799</v>
      </c>
      <c r="M120" s="48">
        <v>-34.950000000000003</v>
      </c>
      <c r="Q120" s="2"/>
      <c r="R120" s="48"/>
      <c r="U120" t="s">
        <v>1385</v>
      </c>
      <c r="V120" s="21">
        <v>44838</v>
      </c>
      <c r="W120" s="48">
        <v>-22.67</v>
      </c>
      <c r="Z120" t="s">
        <v>157</v>
      </c>
      <c r="AA120" s="21">
        <v>44889</v>
      </c>
      <c r="AB120" s="48">
        <v>-5</v>
      </c>
      <c r="AE120" t="s">
        <v>1385</v>
      </c>
      <c r="AF120" s="21">
        <v>44914</v>
      </c>
      <c r="AG120" s="48">
        <v>-22.67</v>
      </c>
      <c r="AJ120" t="s">
        <v>157</v>
      </c>
      <c r="AK120" s="21">
        <v>44937</v>
      </c>
      <c r="AL120" s="48">
        <v>-5.44</v>
      </c>
      <c r="AO120" t="s">
        <v>156</v>
      </c>
      <c r="AP120" s="21">
        <v>44967</v>
      </c>
      <c r="AQ120" s="48">
        <v>-10</v>
      </c>
      <c r="AT120" t="s">
        <v>1385</v>
      </c>
      <c r="AU120" s="21">
        <v>45000</v>
      </c>
      <c r="AV120" s="48">
        <v>-40.049999999999997</v>
      </c>
      <c r="BD120" s="38" t="s">
        <v>157</v>
      </c>
      <c r="BE120" s="21">
        <v>45076</v>
      </c>
      <c r="BF120" s="48">
        <v>-5</v>
      </c>
    </row>
    <row r="121" spans="1:58" ht="15" thickBot="1" x14ac:dyDescent="0.4">
      <c r="A121" t="s">
        <v>439</v>
      </c>
      <c r="B121" s="21">
        <v>44726</v>
      </c>
      <c r="C121" s="48">
        <v>-19.989999999999998</v>
      </c>
      <c r="F121" t="s">
        <v>1385</v>
      </c>
      <c r="G121" s="21">
        <v>44748</v>
      </c>
      <c r="H121" s="48">
        <v>-22.67</v>
      </c>
      <c r="K121" t="s">
        <v>156</v>
      </c>
      <c r="L121" s="21">
        <v>44799</v>
      </c>
      <c r="M121" s="48">
        <v>-10</v>
      </c>
      <c r="Q121" s="2"/>
      <c r="R121" s="48"/>
      <c r="U121" t="s">
        <v>1385</v>
      </c>
      <c r="V121" s="21">
        <v>44843</v>
      </c>
      <c r="W121" s="48">
        <v>-22.67</v>
      </c>
      <c r="Z121" t="s">
        <v>156</v>
      </c>
      <c r="AA121" s="21">
        <v>44890</v>
      </c>
      <c r="AB121" s="48">
        <v>-10</v>
      </c>
      <c r="AE121" t="s">
        <v>1385</v>
      </c>
      <c r="AF121" s="21">
        <v>44921</v>
      </c>
      <c r="AG121" s="49">
        <v>-22.67</v>
      </c>
      <c r="AJ121" t="s">
        <v>157</v>
      </c>
      <c r="AK121" s="21">
        <v>44944</v>
      </c>
      <c r="AL121" s="48">
        <v>-5</v>
      </c>
      <c r="AO121" t="s">
        <v>157</v>
      </c>
      <c r="AP121" s="21">
        <v>44969</v>
      </c>
      <c r="AQ121" s="48">
        <v>-5.62</v>
      </c>
      <c r="AT121" t="s">
        <v>1385</v>
      </c>
      <c r="AU121" s="21">
        <v>45003</v>
      </c>
      <c r="AV121" s="48">
        <v>-32.14</v>
      </c>
      <c r="BE121" s="2"/>
      <c r="BF121" s="55">
        <f>SUM(BF108:BF120)</f>
        <v>-98.04</v>
      </c>
    </row>
    <row r="122" spans="1:58" ht="15" thickBot="1" x14ac:dyDescent="0.4">
      <c r="B122" s="21"/>
      <c r="C122" s="49"/>
      <c r="F122" t="s">
        <v>1385</v>
      </c>
      <c r="G122" s="21">
        <v>44755</v>
      </c>
      <c r="H122" s="48">
        <v>-22.67</v>
      </c>
      <c r="K122" t="s">
        <v>157</v>
      </c>
      <c r="L122" s="21">
        <v>44804</v>
      </c>
      <c r="M122" s="49">
        <v>-5</v>
      </c>
      <c r="P122" s="50" t="s">
        <v>442</v>
      </c>
      <c r="Q122" s="51" t="s">
        <v>340</v>
      </c>
      <c r="R122" s="51" t="s">
        <v>342</v>
      </c>
      <c r="S122" s="51" t="s">
        <v>343</v>
      </c>
      <c r="U122" t="s">
        <v>1385</v>
      </c>
      <c r="V122" s="21">
        <v>44845</v>
      </c>
      <c r="W122" s="48">
        <v>-22.67</v>
      </c>
      <c r="Z122" t="s">
        <v>242</v>
      </c>
      <c r="AA122" s="21">
        <v>44890</v>
      </c>
      <c r="AB122" s="48">
        <v>-34.950000000000003</v>
      </c>
      <c r="AG122" s="48">
        <f>SUM(AG117:AG121)</f>
        <v>-275.68000000000006</v>
      </c>
      <c r="AJ122" t="s">
        <v>156</v>
      </c>
      <c r="AK122" s="21">
        <v>44946</v>
      </c>
      <c r="AL122" s="48">
        <v>-10</v>
      </c>
      <c r="AO122" t="s">
        <v>159</v>
      </c>
      <c r="AP122" s="21">
        <v>44971</v>
      </c>
      <c r="AQ122" s="48">
        <v>-3</v>
      </c>
      <c r="AT122" t="s">
        <v>1385</v>
      </c>
      <c r="AU122" s="21">
        <v>45005</v>
      </c>
      <c r="AV122" s="48">
        <v>-16.09</v>
      </c>
    </row>
    <row r="123" spans="1:58" ht="15" thickBot="1" x14ac:dyDescent="0.4">
      <c r="B123" s="2"/>
      <c r="C123" s="48">
        <f>SUM(C121:C122)</f>
        <v>-19.989999999999998</v>
      </c>
      <c r="F123" t="s">
        <v>1385</v>
      </c>
      <c r="G123" s="21">
        <v>44755</v>
      </c>
      <c r="H123" s="48">
        <v>-22.67</v>
      </c>
      <c r="M123" s="48">
        <f>SUM(M111:M122)</f>
        <v>-130.94999999999999</v>
      </c>
      <c r="Q123" s="21"/>
      <c r="R123" s="48"/>
      <c r="U123" t="s">
        <v>1385</v>
      </c>
      <c r="V123" s="21">
        <v>44856</v>
      </c>
      <c r="W123" s="48">
        <v>-24.78</v>
      </c>
      <c r="Z123" t="s">
        <v>157</v>
      </c>
      <c r="AA123" s="21">
        <v>44895</v>
      </c>
      <c r="AB123" s="49">
        <v>-5</v>
      </c>
      <c r="AG123" s="48"/>
      <c r="AJ123" t="s">
        <v>157</v>
      </c>
      <c r="AK123" s="21">
        <v>44948</v>
      </c>
      <c r="AL123" s="48">
        <v>-5.91</v>
      </c>
      <c r="AO123" t="s">
        <v>157</v>
      </c>
      <c r="AP123" s="21">
        <v>44972</v>
      </c>
      <c r="AQ123" s="48">
        <v>-5</v>
      </c>
      <c r="AT123" t="s">
        <v>1385</v>
      </c>
      <c r="AU123" s="21">
        <v>45006</v>
      </c>
      <c r="AV123" s="48">
        <v>-16.09</v>
      </c>
    </row>
    <row r="124" spans="1:58" ht="15" thickBot="1" x14ac:dyDescent="0.4">
      <c r="B124" s="2"/>
      <c r="C124" s="48"/>
      <c r="F124" t="s">
        <v>1385</v>
      </c>
      <c r="G124" s="21">
        <v>44758</v>
      </c>
      <c r="H124" s="49">
        <v>-22.67</v>
      </c>
      <c r="Q124" s="21"/>
      <c r="R124" s="49"/>
      <c r="U124" t="s">
        <v>1385</v>
      </c>
      <c r="V124" s="21">
        <v>44863</v>
      </c>
      <c r="W124" s="49">
        <v>-22.67</v>
      </c>
      <c r="AB124" s="48">
        <f>SUM(AB112:AB123)</f>
        <v>-105.95</v>
      </c>
      <c r="AG124" s="48"/>
      <c r="AJ124" t="s">
        <v>157</v>
      </c>
      <c r="AK124" s="21">
        <v>44951</v>
      </c>
      <c r="AL124" s="48">
        <v>-5</v>
      </c>
      <c r="AO124" t="s">
        <v>157</v>
      </c>
      <c r="AP124" s="21">
        <v>44972</v>
      </c>
      <c r="AQ124" s="48">
        <v>-5.81</v>
      </c>
      <c r="AT124" t="s">
        <v>1385</v>
      </c>
      <c r="AU124" s="21">
        <v>45013</v>
      </c>
      <c r="AV124" s="48">
        <v>-31.63</v>
      </c>
    </row>
    <row r="125" spans="1:58" x14ac:dyDescent="0.35">
      <c r="B125" s="2"/>
      <c r="C125" s="48"/>
      <c r="G125" s="2"/>
      <c r="H125" s="48">
        <f>SUM(H119:H124)</f>
        <v>-242.82000000000005</v>
      </c>
      <c r="Q125" s="2"/>
      <c r="R125" s="48">
        <f>SUM(R123:R124)</f>
        <v>0</v>
      </c>
      <c r="V125" s="2"/>
      <c r="W125" s="48">
        <v>-275.45999999999998</v>
      </c>
      <c r="AE125" s="50" t="s">
        <v>442</v>
      </c>
      <c r="AF125" s="51" t="s">
        <v>340</v>
      </c>
      <c r="AG125" s="51" t="s">
        <v>342</v>
      </c>
      <c r="AH125" s="51" t="s">
        <v>343</v>
      </c>
      <c r="AJ125" t="s">
        <v>242</v>
      </c>
      <c r="AK125" s="21">
        <v>44952</v>
      </c>
      <c r="AL125" s="48">
        <v>-34.950000000000003</v>
      </c>
      <c r="AO125" t="s">
        <v>156</v>
      </c>
      <c r="AP125" s="21">
        <v>44974</v>
      </c>
      <c r="AQ125" s="48">
        <v>-10</v>
      </c>
      <c r="AU125" s="2"/>
      <c r="AV125" s="55">
        <f>SUM(AV116:AV124)</f>
        <v>-239.06</v>
      </c>
    </row>
    <row r="126" spans="1:58" x14ac:dyDescent="0.35">
      <c r="A126" s="50" t="s">
        <v>1218</v>
      </c>
      <c r="B126" s="51" t="s">
        <v>340</v>
      </c>
      <c r="C126" s="51" t="s">
        <v>342</v>
      </c>
      <c r="D126" s="51" t="s">
        <v>343</v>
      </c>
      <c r="G126" s="2"/>
      <c r="H126" s="48"/>
      <c r="Q126" s="2"/>
      <c r="R126" s="48"/>
      <c r="V126" s="2"/>
      <c r="W126" s="48"/>
      <c r="AF126" s="21"/>
      <c r="AG126" s="48"/>
      <c r="AJ126" t="s">
        <v>156</v>
      </c>
      <c r="AK126" s="21">
        <v>44953</v>
      </c>
      <c r="AL126" s="48">
        <v>-10</v>
      </c>
      <c r="AO126" t="s">
        <v>157</v>
      </c>
      <c r="AP126" s="21">
        <v>44978</v>
      </c>
      <c r="AQ126" s="48">
        <v>-5.22</v>
      </c>
      <c r="AV126" s="48"/>
    </row>
    <row r="127" spans="1:58" ht="15" thickBot="1" x14ac:dyDescent="0.4">
      <c r="A127" t="s">
        <v>1385</v>
      </c>
      <c r="B127" s="21">
        <v>44707</v>
      </c>
      <c r="C127" s="48">
        <v>-90</v>
      </c>
      <c r="G127" s="2"/>
      <c r="H127" s="48"/>
      <c r="Q127" s="2"/>
      <c r="R127" s="48"/>
      <c r="V127" s="2"/>
      <c r="W127" s="48"/>
      <c r="AF127" s="21"/>
      <c r="AG127" s="49"/>
      <c r="AJ127" t="s">
        <v>157</v>
      </c>
      <c r="AK127" s="21">
        <v>44955</v>
      </c>
      <c r="AL127" s="48">
        <v>-6.26</v>
      </c>
      <c r="AO127" t="s">
        <v>157</v>
      </c>
      <c r="AP127" s="21">
        <v>44979</v>
      </c>
      <c r="AQ127" s="48">
        <v>-5</v>
      </c>
      <c r="AV127" s="48"/>
    </row>
    <row r="128" spans="1:58" ht="15" thickBot="1" x14ac:dyDescent="0.4">
      <c r="A128" t="s">
        <v>1385</v>
      </c>
      <c r="B128" s="21">
        <v>44717</v>
      </c>
      <c r="C128" s="48">
        <v>-21.62</v>
      </c>
      <c r="F128" s="50" t="s">
        <v>442</v>
      </c>
      <c r="G128" s="51" t="s">
        <v>340</v>
      </c>
      <c r="H128" s="51" t="s">
        <v>342</v>
      </c>
      <c r="I128" s="51" t="s">
        <v>343</v>
      </c>
      <c r="P128" s="50" t="s">
        <v>339</v>
      </c>
      <c r="Q128" s="51" t="s">
        <v>340</v>
      </c>
      <c r="R128" s="53" t="s">
        <v>342</v>
      </c>
      <c r="S128" s="51" t="s">
        <v>343</v>
      </c>
      <c r="U128" s="50" t="s">
        <v>442</v>
      </c>
      <c r="V128" s="51" t="s">
        <v>340</v>
      </c>
      <c r="W128" s="53" t="s">
        <v>342</v>
      </c>
      <c r="X128" s="51" t="s">
        <v>343</v>
      </c>
      <c r="AG128" s="48">
        <f>SUM(AG126:AG127)</f>
        <v>0</v>
      </c>
      <c r="AJ128" t="s">
        <v>541</v>
      </c>
      <c r="AK128" s="21">
        <v>44955</v>
      </c>
      <c r="AL128" s="49">
        <v>-45.45</v>
      </c>
      <c r="AO128" t="s">
        <v>156</v>
      </c>
      <c r="AP128" s="21">
        <v>44981</v>
      </c>
      <c r="AQ128" s="48">
        <v>-10</v>
      </c>
      <c r="AT128" s="50" t="s">
        <v>442</v>
      </c>
      <c r="AU128" s="51" t="s">
        <v>340</v>
      </c>
      <c r="AV128" s="53" t="s">
        <v>342</v>
      </c>
      <c r="AW128" s="51" t="s">
        <v>343</v>
      </c>
    </row>
    <row r="129" spans="1:49" x14ac:dyDescent="0.35">
      <c r="A129" t="s">
        <v>1385</v>
      </c>
      <c r="B129" s="21">
        <v>44723</v>
      </c>
      <c r="C129" s="48">
        <v>-21.62</v>
      </c>
      <c r="G129" s="21"/>
      <c r="H129" s="48"/>
      <c r="P129" t="s">
        <v>156</v>
      </c>
      <c r="Q129" s="21">
        <v>44806</v>
      </c>
      <c r="R129" s="48">
        <v>-10</v>
      </c>
      <c r="U129" t="s">
        <v>443</v>
      </c>
      <c r="V129" s="21">
        <v>44859</v>
      </c>
      <c r="W129" s="48">
        <v>-960</v>
      </c>
      <c r="AG129" s="48"/>
      <c r="AL129" s="48">
        <f>SUM(AL114:AL128)</f>
        <v>-176</v>
      </c>
      <c r="AO129" t="s">
        <v>233</v>
      </c>
      <c r="AP129" s="21">
        <v>44982</v>
      </c>
      <c r="AQ129" s="48">
        <v>-34.950000000000003</v>
      </c>
      <c r="AU129" s="21"/>
      <c r="AV129" s="48"/>
    </row>
    <row r="130" spans="1:49" ht="15" thickBot="1" x14ac:dyDescent="0.4">
      <c r="A130" t="s">
        <v>1385</v>
      </c>
      <c r="B130" s="21">
        <v>44723</v>
      </c>
      <c r="C130" s="48">
        <v>-40</v>
      </c>
      <c r="G130" s="21"/>
      <c r="H130" s="49"/>
      <c r="P130" t="s">
        <v>157</v>
      </c>
      <c r="Q130" s="21">
        <v>44809</v>
      </c>
      <c r="R130" s="48">
        <v>-3</v>
      </c>
      <c r="V130" s="2"/>
      <c r="W130" s="49"/>
      <c r="AG130" s="48"/>
      <c r="AO130" t="s">
        <v>557</v>
      </c>
      <c r="AP130" s="21">
        <v>44983</v>
      </c>
      <c r="AQ130" s="48">
        <v>-4.75</v>
      </c>
      <c r="AU130" s="21"/>
      <c r="AV130" s="49"/>
    </row>
    <row r="131" spans="1:49" ht="15" thickBot="1" x14ac:dyDescent="0.4">
      <c r="A131" t="s">
        <v>1385</v>
      </c>
      <c r="B131" s="21">
        <v>44730</v>
      </c>
      <c r="C131" s="49">
        <v>-40</v>
      </c>
      <c r="G131" s="2"/>
      <c r="H131" s="48">
        <f>SUM(H129:H130)</f>
        <v>0</v>
      </c>
      <c r="P131" t="s">
        <v>157</v>
      </c>
      <c r="Q131" s="21">
        <v>44811</v>
      </c>
      <c r="R131" s="48">
        <v>-5</v>
      </c>
      <c r="V131" s="2"/>
      <c r="W131" s="48">
        <v>-960</v>
      </c>
      <c r="AE131" s="52" t="s">
        <v>339</v>
      </c>
      <c r="AF131" s="53" t="s">
        <v>340</v>
      </c>
      <c r="AG131" s="53" t="s">
        <v>342</v>
      </c>
      <c r="AH131" s="53" t="s">
        <v>343</v>
      </c>
      <c r="AO131" t="s">
        <v>157</v>
      </c>
      <c r="AP131" s="21">
        <v>44983</v>
      </c>
      <c r="AQ131" s="49">
        <v>-5.07</v>
      </c>
      <c r="AU131" s="2"/>
      <c r="AV131" s="55">
        <f>SUM(AV129:AV130)</f>
        <v>0</v>
      </c>
    </row>
    <row r="132" spans="1:49" x14ac:dyDescent="0.35">
      <c r="B132" s="2"/>
      <c r="C132" s="48">
        <f>SUM(C127:C131)</f>
        <v>-213.24</v>
      </c>
      <c r="G132" s="2"/>
      <c r="H132" s="48"/>
      <c r="P132" t="s">
        <v>156</v>
      </c>
      <c r="Q132" s="21">
        <v>44813</v>
      </c>
      <c r="R132" s="48">
        <v>-10</v>
      </c>
      <c r="V132" s="2"/>
      <c r="W132" s="48"/>
      <c r="AE132" t="s">
        <v>156</v>
      </c>
      <c r="AF132" s="21">
        <v>44897</v>
      </c>
      <c r="AG132" s="48">
        <v>-10</v>
      </c>
      <c r="AQ132" s="48">
        <f>SUM(AQ113:AQ131)</f>
        <v>-155.01999999999998</v>
      </c>
      <c r="AV132" s="48"/>
    </row>
    <row r="133" spans="1:49" x14ac:dyDescent="0.35">
      <c r="G133" s="2"/>
      <c r="H133" s="48"/>
      <c r="P133" t="s">
        <v>156</v>
      </c>
      <c r="Q133" s="21">
        <v>44815</v>
      </c>
      <c r="R133" s="48">
        <v>-30</v>
      </c>
      <c r="V133" s="2"/>
      <c r="W133" s="48"/>
      <c r="AE133" t="s">
        <v>535</v>
      </c>
      <c r="AF133" s="21">
        <v>44898</v>
      </c>
      <c r="AG133" s="48">
        <v>-14.99</v>
      </c>
      <c r="AV133" s="48"/>
    </row>
    <row r="134" spans="1:49" x14ac:dyDescent="0.35">
      <c r="F134" s="50" t="s">
        <v>339</v>
      </c>
      <c r="G134" s="51" t="s">
        <v>340</v>
      </c>
      <c r="H134" s="53" t="s">
        <v>342</v>
      </c>
      <c r="I134" s="51" t="s">
        <v>343</v>
      </c>
      <c r="P134" t="s">
        <v>157</v>
      </c>
      <c r="Q134" s="21">
        <v>44818</v>
      </c>
      <c r="R134" s="48">
        <v>-5</v>
      </c>
      <c r="U134" s="50" t="s">
        <v>339</v>
      </c>
      <c r="V134" s="51" t="s">
        <v>340</v>
      </c>
      <c r="W134" s="53" t="s">
        <v>342</v>
      </c>
      <c r="X134" s="51" t="s">
        <v>343</v>
      </c>
      <c r="AE134" t="s">
        <v>157</v>
      </c>
      <c r="AF134" s="21">
        <v>44899</v>
      </c>
      <c r="AG134" s="48">
        <v>-3</v>
      </c>
      <c r="AT134" s="52" t="s">
        <v>339</v>
      </c>
      <c r="AU134" s="53" t="s">
        <v>340</v>
      </c>
      <c r="AV134" s="53" t="s">
        <v>342</v>
      </c>
      <c r="AW134" s="53" t="s">
        <v>343</v>
      </c>
    </row>
    <row r="135" spans="1:49" x14ac:dyDescent="0.35">
      <c r="A135" s="50" t="s">
        <v>442</v>
      </c>
      <c r="B135" s="51" t="s">
        <v>340</v>
      </c>
      <c r="C135" s="51" t="s">
        <v>342</v>
      </c>
      <c r="D135" s="51" t="s">
        <v>343</v>
      </c>
      <c r="F135" t="s">
        <v>156</v>
      </c>
      <c r="G135" s="21">
        <v>44743</v>
      </c>
      <c r="H135" s="48">
        <v>-10</v>
      </c>
      <c r="P135" t="s">
        <v>156</v>
      </c>
      <c r="Q135" s="21">
        <v>44820</v>
      </c>
      <c r="R135" s="48">
        <v>-10</v>
      </c>
      <c r="U135" t="s">
        <v>157</v>
      </c>
      <c r="V135" s="21">
        <v>44839</v>
      </c>
      <c r="W135" s="48">
        <v>-3</v>
      </c>
      <c r="AE135" t="s">
        <v>157</v>
      </c>
      <c r="AF135" s="21">
        <v>44902</v>
      </c>
      <c r="AG135" s="48">
        <v>-5</v>
      </c>
      <c r="AT135" t="s">
        <v>157</v>
      </c>
      <c r="AU135" s="21">
        <v>44986</v>
      </c>
      <c r="AV135" s="48">
        <v>-5</v>
      </c>
    </row>
    <row r="136" spans="1:49" x14ac:dyDescent="0.35">
      <c r="B136" s="21"/>
      <c r="C136" s="48"/>
      <c r="F136" t="s">
        <v>444</v>
      </c>
      <c r="G136" s="21">
        <v>44747</v>
      </c>
      <c r="H136" s="48">
        <v>-15</v>
      </c>
      <c r="P136" t="s">
        <v>157</v>
      </c>
      <c r="Q136" s="21">
        <v>44825</v>
      </c>
      <c r="R136" s="48">
        <v>-5</v>
      </c>
      <c r="U136" t="s">
        <v>156</v>
      </c>
      <c r="V136" s="21">
        <v>44841</v>
      </c>
      <c r="W136" s="48">
        <v>-3</v>
      </c>
      <c r="AE136" t="s">
        <v>156</v>
      </c>
      <c r="AF136" s="21">
        <v>44904</v>
      </c>
      <c r="AG136" s="48">
        <v>-10</v>
      </c>
      <c r="AT136" t="s">
        <v>157</v>
      </c>
      <c r="AU136" s="21">
        <v>44986</v>
      </c>
      <c r="AV136" s="48">
        <v>-5.67</v>
      </c>
    </row>
    <row r="137" spans="1:49" ht="15" thickBot="1" x14ac:dyDescent="0.4">
      <c r="B137" s="21"/>
      <c r="C137" s="49"/>
      <c r="F137" t="s">
        <v>157</v>
      </c>
      <c r="G137" s="21">
        <v>44747</v>
      </c>
      <c r="H137" s="48">
        <v>-3</v>
      </c>
      <c r="P137" t="s">
        <v>156</v>
      </c>
      <c r="Q137" s="21">
        <v>44827</v>
      </c>
      <c r="R137" s="48">
        <v>-10</v>
      </c>
      <c r="U137" t="s">
        <v>157</v>
      </c>
      <c r="V137" s="21">
        <v>44846</v>
      </c>
      <c r="W137" s="48">
        <v>-5</v>
      </c>
      <c r="AE137" t="s">
        <v>159</v>
      </c>
      <c r="AF137" s="21">
        <v>44909</v>
      </c>
      <c r="AG137" s="48">
        <v>-3</v>
      </c>
      <c r="AT137" t="s">
        <v>156</v>
      </c>
      <c r="AU137" s="21">
        <v>44988</v>
      </c>
      <c r="AV137" s="48">
        <v>-10</v>
      </c>
    </row>
    <row r="138" spans="1:49" x14ac:dyDescent="0.35">
      <c r="B138" s="2"/>
      <c r="C138" s="48">
        <f>SUM(C136:C137)</f>
        <v>0</v>
      </c>
      <c r="F138" t="s">
        <v>156</v>
      </c>
      <c r="G138" s="21">
        <v>44750</v>
      </c>
      <c r="H138" s="48">
        <v>-10</v>
      </c>
      <c r="P138" t="s">
        <v>445</v>
      </c>
      <c r="Q138" s="21">
        <v>44830</v>
      </c>
      <c r="R138" s="48">
        <v>-34.950000000000003</v>
      </c>
      <c r="U138" t="s">
        <v>156</v>
      </c>
      <c r="V138" s="21">
        <v>44848</v>
      </c>
      <c r="W138" s="48">
        <v>-10</v>
      </c>
      <c r="AE138" t="s">
        <v>157</v>
      </c>
      <c r="AF138" s="21">
        <v>44909</v>
      </c>
      <c r="AG138" s="48">
        <v>-5</v>
      </c>
      <c r="AT138" t="s">
        <v>157</v>
      </c>
      <c r="AU138" s="21">
        <v>44990</v>
      </c>
      <c r="AV138" s="48">
        <v>-3</v>
      </c>
    </row>
    <row r="139" spans="1:49" x14ac:dyDescent="0.35">
      <c r="F139" t="s">
        <v>157</v>
      </c>
      <c r="G139" s="21">
        <v>44755</v>
      </c>
      <c r="H139" s="48">
        <v>-5</v>
      </c>
      <c r="P139" t="s">
        <v>157</v>
      </c>
      <c r="Q139" s="21">
        <v>44832</v>
      </c>
      <c r="R139" s="48">
        <v>-5</v>
      </c>
      <c r="U139" t="s">
        <v>159</v>
      </c>
      <c r="V139" s="21">
        <v>44850</v>
      </c>
      <c r="W139" s="48">
        <v>-3</v>
      </c>
      <c r="AE139" t="s">
        <v>156</v>
      </c>
      <c r="AF139" s="21">
        <v>44911</v>
      </c>
      <c r="AG139" s="48">
        <v>-10</v>
      </c>
      <c r="AT139" t="s">
        <v>157</v>
      </c>
      <c r="AU139" s="21">
        <v>44990</v>
      </c>
      <c r="AV139" s="48">
        <v>-5.67</v>
      </c>
    </row>
    <row r="140" spans="1:49" ht="15" thickBot="1" x14ac:dyDescent="0.4">
      <c r="F140" t="s">
        <v>156</v>
      </c>
      <c r="G140" s="21">
        <v>44757</v>
      </c>
      <c r="H140" s="48">
        <v>-10</v>
      </c>
      <c r="P140" t="s">
        <v>156</v>
      </c>
      <c r="Q140" s="21">
        <v>44834</v>
      </c>
      <c r="R140" s="49">
        <v>-10</v>
      </c>
      <c r="U140" t="s">
        <v>157</v>
      </c>
      <c r="V140" s="21">
        <v>44853</v>
      </c>
      <c r="W140" s="48">
        <v>-5</v>
      </c>
      <c r="AE140" t="s">
        <v>157</v>
      </c>
      <c r="AF140" s="21">
        <v>44916</v>
      </c>
      <c r="AG140" s="48">
        <v>-5</v>
      </c>
      <c r="AT140" t="s">
        <v>535</v>
      </c>
      <c r="AU140" s="21">
        <v>44991</v>
      </c>
      <c r="AV140" s="48">
        <v>-14.99</v>
      </c>
    </row>
    <row r="141" spans="1:49" x14ac:dyDescent="0.35">
      <c r="A141" s="50" t="s">
        <v>339</v>
      </c>
      <c r="B141" s="51" t="s">
        <v>340</v>
      </c>
      <c r="C141" s="51" t="s">
        <v>342</v>
      </c>
      <c r="D141" s="51" t="s">
        <v>343</v>
      </c>
      <c r="F141" t="s">
        <v>157</v>
      </c>
      <c r="G141" s="21">
        <v>44762</v>
      </c>
      <c r="H141" s="48">
        <v>-5</v>
      </c>
      <c r="Q141" s="2"/>
      <c r="R141" s="48">
        <f>SUM(R129:R140)</f>
        <v>-137.94999999999999</v>
      </c>
      <c r="U141" t="s">
        <v>156</v>
      </c>
      <c r="V141" s="21">
        <v>44855</v>
      </c>
      <c r="W141" s="48">
        <v>-10</v>
      </c>
      <c r="AE141" t="s">
        <v>156</v>
      </c>
      <c r="AF141" s="21">
        <v>44918</v>
      </c>
      <c r="AG141" s="48">
        <v>-10</v>
      </c>
      <c r="AT141" t="s">
        <v>157</v>
      </c>
      <c r="AU141" s="21">
        <v>44992</v>
      </c>
      <c r="AV141" s="48">
        <v>-5.74</v>
      </c>
    </row>
    <row r="142" spans="1:49" x14ac:dyDescent="0.35">
      <c r="A142" t="s">
        <v>156</v>
      </c>
      <c r="B142" s="21">
        <v>44715</v>
      </c>
      <c r="C142" s="48">
        <v>-10</v>
      </c>
      <c r="F142" t="s">
        <v>156</v>
      </c>
      <c r="G142" s="21">
        <v>44764</v>
      </c>
      <c r="H142" s="48">
        <v>-10</v>
      </c>
      <c r="U142" t="s">
        <v>445</v>
      </c>
      <c r="V142" s="21">
        <v>44860</v>
      </c>
      <c r="W142" s="48">
        <v>-34.950000000000003</v>
      </c>
      <c r="AE142" t="s">
        <v>242</v>
      </c>
      <c r="AF142" s="21">
        <v>44920</v>
      </c>
      <c r="AG142" s="48">
        <v>-34.950000000000003</v>
      </c>
      <c r="AT142" t="s">
        <v>157</v>
      </c>
      <c r="AU142" s="21">
        <v>44993</v>
      </c>
      <c r="AV142" s="48">
        <v>-5</v>
      </c>
    </row>
    <row r="143" spans="1:49" x14ac:dyDescent="0.35">
      <c r="A143" t="s">
        <v>157</v>
      </c>
      <c r="B143" s="21">
        <v>44717</v>
      </c>
      <c r="C143" s="48">
        <v>-3</v>
      </c>
      <c r="F143" t="s">
        <v>157</v>
      </c>
      <c r="G143" s="21">
        <v>44769</v>
      </c>
      <c r="H143" s="48">
        <v>-5</v>
      </c>
      <c r="U143" t="s">
        <v>157</v>
      </c>
      <c r="V143" s="21">
        <v>44860</v>
      </c>
      <c r="W143" s="48">
        <v>-5</v>
      </c>
      <c r="AE143" t="s">
        <v>157</v>
      </c>
      <c r="AF143" s="21">
        <v>44923</v>
      </c>
      <c r="AG143" s="48">
        <v>-5</v>
      </c>
      <c r="AT143" t="s">
        <v>156</v>
      </c>
      <c r="AU143" s="21">
        <v>44995</v>
      </c>
      <c r="AV143" s="48">
        <v>-10</v>
      </c>
    </row>
    <row r="144" spans="1:49" ht="15" thickBot="1" x14ac:dyDescent="0.4">
      <c r="A144" t="s">
        <v>157</v>
      </c>
      <c r="B144" s="21">
        <v>44720</v>
      </c>
      <c r="C144" s="48">
        <v>-5</v>
      </c>
      <c r="F144" t="s">
        <v>156</v>
      </c>
      <c r="G144" s="21">
        <v>44771</v>
      </c>
      <c r="H144" s="48">
        <v>-10</v>
      </c>
      <c r="U144" t="s">
        <v>156</v>
      </c>
      <c r="V144" s="21">
        <v>44862</v>
      </c>
      <c r="W144" s="48">
        <v>-10</v>
      </c>
      <c r="AE144" t="s">
        <v>156</v>
      </c>
      <c r="AF144" s="21">
        <v>44925</v>
      </c>
      <c r="AG144" s="49">
        <v>-10</v>
      </c>
      <c r="AT144" t="s">
        <v>157</v>
      </c>
      <c r="AU144" s="21">
        <v>44997</v>
      </c>
      <c r="AV144" s="48">
        <v>-5.65</v>
      </c>
    </row>
    <row r="145" spans="1:48" ht="15" thickBot="1" x14ac:dyDescent="0.4">
      <c r="A145" t="s">
        <v>156</v>
      </c>
      <c r="B145" s="21">
        <v>44722</v>
      </c>
      <c r="C145" s="48">
        <v>-10</v>
      </c>
      <c r="F145" t="s">
        <v>446</v>
      </c>
      <c r="G145" s="21">
        <v>44773</v>
      </c>
      <c r="H145" s="49">
        <v>-49.7</v>
      </c>
      <c r="I145" t="s">
        <v>447</v>
      </c>
      <c r="U145" t="s">
        <v>450</v>
      </c>
      <c r="V145" s="21">
        <v>44864</v>
      </c>
      <c r="W145" s="49">
        <v>-12.99</v>
      </c>
      <c r="AG145" s="48">
        <f>SUM(AG132:AG144)</f>
        <v>-125.94000000000001</v>
      </c>
      <c r="AT145" t="s">
        <v>159</v>
      </c>
      <c r="AU145" s="21">
        <v>44999</v>
      </c>
      <c r="AV145" s="48">
        <v>-3</v>
      </c>
    </row>
    <row r="146" spans="1:48" x14ac:dyDescent="0.35">
      <c r="A146" t="s">
        <v>157</v>
      </c>
      <c r="B146" s="21">
        <v>44726</v>
      </c>
      <c r="C146" s="48">
        <v>-3</v>
      </c>
      <c r="H146" s="48">
        <f>SUM(H135:H145)</f>
        <v>-132.69999999999999</v>
      </c>
      <c r="V146" s="2"/>
      <c r="W146" s="48">
        <v>-101.94</v>
      </c>
      <c r="AT146" t="s">
        <v>157</v>
      </c>
      <c r="AU146" s="21">
        <v>45000</v>
      </c>
      <c r="AV146" s="48">
        <v>-5.65</v>
      </c>
    </row>
    <row r="147" spans="1:48" x14ac:dyDescent="0.35">
      <c r="A147" t="s">
        <v>157</v>
      </c>
      <c r="B147" s="21">
        <v>44727</v>
      </c>
      <c r="C147" s="48">
        <v>-5</v>
      </c>
      <c r="AT147" t="s">
        <v>157</v>
      </c>
      <c r="AU147" s="21">
        <v>45001</v>
      </c>
      <c r="AV147" s="48">
        <v>-8.3800000000000008</v>
      </c>
    </row>
    <row r="148" spans="1:48" x14ac:dyDescent="0.35">
      <c r="A148" t="s">
        <v>156</v>
      </c>
      <c r="B148" s="21">
        <v>44729</v>
      </c>
      <c r="C148" s="48">
        <v>-10</v>
      </c>
      <c r="AT148" t="s">
        <v>156</v>
      </c>
      <c r="AU148" s="21">
        <v>45002</v>
      </c>
      <c r="AV148" s="48">
        <v>-10</v>
      </c>
    </row>
    <row r="149" spans="1:48" x14ac:dyDescent="0.35">
      <c r="A149" t="s">
        <v>157</v>
      </c>
      <c r="B149" s="21">
        <v>44734</v>
      </c>
      <c r="C149" s="48">
        <v>-5</v>
      </c>
      <c r="AT149" t="s">
        <v>157</v>
      </c>
      <c r="AU149" s="21">
        <v>45006</v>
      </c>
      <c r="AV149" s="48">
        <v>-8.99</v>
      </c>
    </row>
    <row r="150" spans="1:48" x14ac:dyDescent="0.35">
      <c r="A150" t="s">
        <v>156</v>
      </c>
      <c r="B150" s="21">
        <v>44736</v>
      </c>
      <c r="C150" s="48">
        <v>-10</v>
      </c>
      <c r="AT150" t="s">
        <v>157</v>
      </c>
      <c r="AU150" s="21">
        <v>45007</v>
      </c>
      <c r="AV150" s="48">
        <v>-5</v>
      </c>
    </row>
    <row r="151" spans="1:48" ht="15" thickBot="1" x14ac:dyDescent="0.4">
      <c r="A151" t="s">
        <v>157</v>
      </c>
      <c r="B151" s="21">
        <v>44742</v>
      </c>
      <c r="C151" s="49">
        <v>-5</v>
      </c>
      <c r="AT151" t="s">
        <v>871</v>
      </c>
      <c r="AU151" s="21">
        <v>45008</v>
      </c>
      <c r="AV151" s="48">
        <v>-59.85</v>
      </c>
    </row>
    <row r="152" spans="1:48" x14ac:dyDescent="0.35">
      <c r="C152" s="48">
        <f>SUM(C142:C151)</f>
        <v>-66</v>
      </c>
      <c r="AT152" t="s">
        <v>156</v>
      </c>
      <c r="AU152" s="21">
        <v>45009</v>
      </c>
      <c r="AV152" s="48">
        <v>-10</v>
      </c>
    </row>
    <row r="153" spans="1:48" x14ac:dyDescent="0.35">
      <c r="AT153" t="s">
        <v>233</v>
      </c>
      <c r="AU153" s="21">
        <v>45010</v>
      </c>
      <c r="AV153" s="48">
        <v>-34.950000000000003</v>
      </c>
    </row>
    <row r="154" spans="1:48" x14ac:dyDescent="0.35">
      <c r="F154" s="48"/>
      <c r="G154" s="48"/>
      <c r="H154" s="48"/>
      <c r="I154" s="48"/>
      <c r="AT154" t="s">
        <v>557</v>
      </c>
      <c r="AU154" s="21">
        <v>45011</v>
      </c>
      <c r="AV154" s="48">
        <v>-5</v>
      </c>
    </row>
    <row r="155" spans="1:48" x14ac:dyDescent="0.35">
      <c r="A155" s="31" t="s">
        <v>448</v>
      </c>
      <c r="F155" s="13" t="s">
        <v>457</v>
      </c>
      <c r="G155" s="48"/>
      <c r="H155" s="48"/>
      <c r="I155" s="48"/>
      <c r="AT155" t="s">
        <v>157</v>
      </c>
      <c r="AU155" s="21">
        <v>45011</v>
      </c>
      <c r="AV155" s="48">
        <v>-5.0599999999999996</v>
      </c>
    </row>
    <row r="156" spans="1:48" x14ac:dyDescent="0.35">
      <c r="A156" s="56" t="s">
        <v>451</v>
      </c>
      <c r="B156" s="57" t="s">
        <v>452</v>
      </c>
      <c r="C156" s="57" t="s">
        <v>454</v>
      </c>
      <c r="D156" s="59" t="s">
        <v>453</v>
      </c>
      <c r="F156" s="58" t="s">
        <v>451</v>
      </c>
      <c r="G156" s="59" t="s">
        <v>452</v>
      </c>
      <c r="H156" s="57" t="s">
        <v>454</v>
      </c>
      <c r="I156" s="59" t="s">
        <v>455</v>
      </c>
      <c r="AT156" t="s">
        <v>157</v>
      </c>
      <c r="AU156" s="21">
        <v>45013</v>
      </c>
      <c r="AV156" s="48">
        <v>-5.54</v>
      </c>
    </row>
    <row r="157" spans="1:48" ht="15" thickBot="1" x14ac:dyDescent="0.4">
      <c r="A157" s="48">
        <f>C26+C35+C62+C71+C95+C111+C117+C123+C132</f>
        <v>-995.40000000000009</v>
      </c>
      <c r="B157" s="48">
        <f>'Work Hours '!G38</f>
        <v>1667.25</v>
      </c>
      <c r="C157" s="48">
        <f>C20</f>
        <v>211.2</v>
      </c>
      <c r="D157" s="48">
        <v>65</v>
      </c>
      <c r="E157" s="48"/>
      <c r="F157" s="48">
        <f>AG16+AG26+AG42+AG49+AG73+AG80+AG88+AG94+AG113+AG122</f>
        <v>-2427.13</v>
      </c>
      <c r="G157" s="48">
        <f>'Work Hours '!G233</f>
        <v>1087</v>
      </c>
      <c r="H157" s="48">
        <f>AG8</f>
        <v>40</v>
      </c>
      <c r="I157" s="48"/>
      <c r="AT157" t="s">
        <v>157</v>
      </c>
      <c r="AU157" s="21">
        <v>45014</v>
      </c>
      <c r="AV157" s="48">
        <v>-5</v>
      </c>
    </row>
    <row r="158" spans="1:48" x14ac:dyDescent="0.35">
      <c r="A158" s="13" t="s">
        <v>456</v>
      </c>
      <c r="B158" s="48"/>
      <c r="C158" s="48"/>
      <c r="D158" s="48"/>
      <c r="E158" s="48"/>
      <c r="F158" s="13" t="s">
        <v>459</v>
      </c>
      <c r="G158" s="48"/>
      <c r="H158" s="48"/>
      <c r="I158" s="48"/>
      <c r="AU158" s="2"/>
      <c r="AV158" s="55">
        <f>SUM(AV135:AV157)</f>
        <v>-237.14000000000001</v>
      </c>
    </row>
    <row r="159" spans="1:48" x14ac:dyDescent="0.35">
      <c r="A159" s="58" t="s">
        <v>451</v>
      </c>
      <c r="B159" s="59" t="s">
        <v>452</v>
      </c>
      <c r="C159" s="57" t="s">
        <v>454</v>
      </c>
      <c r="D159" s="59" t="s">
        <v>453</v>
      </c>
      <c r="E159" s="48"/>
      <c r="F159" s="58" t="s">
        <v>451</v>
      </c>
      <c r="G159" s="59" t="s">
        <v>452</v>
      </c>
      <c r="H159" s="57" t="s">
        <v>454</v>
      </c>
      <c r="I159" s="59" t="s">
        <v>455</v>
      </c>
    </row>
    <row r="160" spans="1:48" x14ac:dyDescent="0.35">
      <c r="A160" s="48">
        <f>H16+H25+H56+H63+H85+H99+H109+H115+H125</f>
        <v>-1233.6999999999998</v>
      </c>
      <c r="B160" s="48">
        <f>'Work Hours '!G85</f>
        <v>2692.5</v>
      </c>
      <c r="C160" s="4">
        <f>H10</f>
        <v>55</v>
      </c>
      <c r="D160" s="48">
        <v>35</v>
      </c>
      <c r="E160" s="48"/>
      <c r="F160" s="48">
        <f>AL16+AL25+AL39+AL50+AL70+AL80+AL86+AL92+AL104</f>
        <v>-2015.38</v>
      </c>
      <c r="G160" s="48">
        <f>'Work Hours '!G252</f>
        <v>350</v>
      </c>
      <c r="H160" s="48">
        <f>AL10</f>
        <v>40</v>
      </c>
      <c r="I160" s="48"/>
    </row>
    <row r="161" spans="1:9" x14ac:dyDescent="0.35">
      <c r="A161" s="13" t="s">
        <v>458</v>
      </c>
      <c r="B161" s="48"/>
      <c r="C161" s="48"/>
      <c r="D161" s="48"/>
      <c r="E161" s="48"/>
      <c r="F161" s="13" t="s">
        <v>461</v>
      </c>
      <c r="G161" s="48"/>
      <c r="H161" s="48"/>
      <c r="I161" s="48"/>
    </row>
    <row r="162" spans="1:9" x14ac:dyDescent="0.35">
      <c r="A162" s="58" t="s">
        <v>451</v>
      </c>
      <c r="B162" s="59" t="s">
        <v>452</v>
      </c>
      <c r="C162" s="57" t="s">
        <v>454</v>
      </c>
      <c r="D162" s="59" t="s">
        <v>455</v>
      </c>
      <c r="E162" s="48"/>
      <c r="F162" s="58" t="s">
        <v>451</v>
      </c>
      <c r="G162" s="59" t="s">
        <v>452</v>
      </c>
      <c r="H162" s="57" t="s">
        <v>454</v>
      </c>
      <c r="I162" s="59" t="s">
        <v>455</v>
      </c>
    </row>
    <row r="163" spans="1:9" x14ac:dyDescent="0.35">
      <c r="A163" s="48">
        <f>M16+M26+M41+M51+M68+M79+M85+M91+M101</f>
        <v>-881.65000000000009</v>
      </c>
      <c r="B163" s="48">
        <f>'Work Hours '!G126</f>
        <v>2559.25</v>
      </c>
      <c r="C163" s="48">
        <f>M10</f>
        <v>20</v>
      </c>
      <c r="D163" s="48"/>
      <c r="E163" s="48"/>
      <c r="F163" s="48">
        <f>AQ16+AQ26+AQ40+AQ51+AQ70+AQ80+AQ89+AQ94+AQ103</f>
        <v>-1031.8799999999999</v>
      </c>
      <c r="G163" s="48">
        <f>'Work Hours '!G273</f>
        <v>901</v>
      </c>
      <c r="H163" s="48">
        <f>AQ10</f>
        <v>140</v>
      </c>
      <c r="I163" s="48"/>
    </row>
    <row r="164" spans="1:9" x14ac:dyDescent="0.35">
      <c r="A164" s="13" t="s">
        <v>460</v>
      </c>
      <c r="B164" s="48"/>
      <c r="C164" s="48"/>
      <c r="D164" s="48"/>
      <c r="E164" s="48"/>
      <c r="F164" s="13" t="s">
        <v>572</v>
      </c>
      <c r="G164" s="48"/>
      <c r="H164" s="48"/>
      <c r="I164" s="48"/>
    </row>
    <row r="165" spans="1:9" x14ac:dyDescent="0.35">
      <c r="A165" s="58" t="s">
        <v>451</v>
      </c>
      <c r="B165" s="59" t="s">
        <v>452</v>
      </c>
      <c r="C165" s="57" t="s">
        <v>454</v>
      </c>
      <c r="D165" s="59" t="s">
        <v>455</v>
      </c>
      <c r="E165" s="48"/>
      <c r="F165" s="58" t="s">
        <v>451</v>
      </c>
      <c r="G165" s="59" t="s">
        <v>452</v>
      </c>
      <c r="H165" s="57" t="s">
        <v>454</v>
      </c>
      <c r="I165" s="59" t="s">
        <v>455</v>
      </c>
    </row>
    <row r="166" spans="1:9" x14ac:dyDescent="0.35">
      <c r="A166" s="48">
        <f>R16+R25+R47+R58+R82+R97+R103+R109+R119</f>
        <v>-1516.86</v>
      </c>
      <c r="B166" s="48">
        <f>'Work Hours '!G163</f>
        <v>3344</v>
      </c>
      <c r="C166" s="48">
        <f>R10</f>
        <v>40</v>
      </c>
      <c r="D166" s="48"/>
      <c r="E166" s="48"/>
      <c r="F166" s="48">
        <f>AV16+AV27+AV44+AV58+AV89+AV96+AV107+AV112+AV125</f>
        <v>-1984.8100000000002</v>
      </c>
      <c r="G166" s="48">
        <f>'Work Hours '!G298+'Work Hours '!W20</f>
        <v>900</v>
      </c>
      <c r="H166" s="48">
        <f>AV10</f>
        <v>120</v>
      </c>
      <c r="I166" s="48"/>
    </row>
    <row r="167" spans="1:9" x14ac:dyDescent="0.35">
      <c r="A167" s="13" t="s">
        <v>462</v>
      </c>
      <c r="B167" s="48"/>
      <c r="C167" s="48"/>
      <c r="D167" s="48"/>
      <c r="E167" s="48"/>
      <c r="F167" s="13" t="s">
        <v>578</v>
      </c>
      <c r="G167" s="48"/>
      <c r="H167" s="48"/>
      <c r="I167" s="48"/>
    </row>
    <row r="168" spans="1:9" x14ac:dyDescent="0.35">
      <c r="A168" s="58" t="s">
        <v>451</v>
      </c>
      <c r="B168" s="59" t="s">
        <v>452</v>
      </c>
      <c r="C168" s="57" t="s">
        <v>454</v>
      </c>
      <c r="D168" s="59" t="s">
        <v>455</v>
      </c>
      <c r="E168" s="48"/>
      <c r="F168" s="58" t="s">
        <v>451</v>
      </c>
      <c r="G168" s="59" t="s">
        <v>452</v>
      </c>
      <c r="H168" s="57" t="s">
        <v>454</v>
      </c>
      <c r="I168" s="59" t="s">
        <v>455</v>
      </c>
    </row>
    <row r="169" spans="1:9" x14ac:dyDescent="0.35">
      <c r="A169" s="48">
        <f>W16+W23+W51+W59+W93+W105+W110+W115+W125</f>
        <v>-1375.68</v>
      </c>
      <c r="B169" s="48">
        <f>'Work Hours '!G185</f>
        <v>1090</v>
      </c>
      <c r="C169" s="48">
        <f>W10</f>
        <v>40</v>
      </c>
      <c r="D169" s="48"/>
      <c r="E169" s="48"/>
      <c r="F169" s="48">
        <f>BA16+BA23+BA36+BA49+BA59+BA67+BA74+BA80+BA87</f>
        <v>-669.2</v>
      </c>
      <c r="G169" s="48">
        <f>'Work Hours '!G324+'Work Hours '!W29</f>
        <v>1800.5</v>
      </c>
      <c r="H169" s="48">
        <f>BA10</f>
        <v>40</v>
      </c>
      <c r="I169" s="48"/>
    </row>
    <row r="170" spans="1:9" x14ac:dyDescent="0.35">
      <c r="A170" s="31" t="s">
        <v>449</v>
      </c>
      <c r="F170" s="13" t="s">
        <v>579</v>
      </c>
      <c r="G170" s="48"/>
      <c r="H170" s="48"/>
      <c r="I170" s="48"/>
    </row>
    <row r="171" spans="1:9" x14ac:dyDescent="0.35">
      <c r="A171" s="56" t="s">
        <v>451</v>
      </c>
      <c r="B171" s="57" t="s">
        <v>452</v>
      </c>
      <c r="C171" s="57" t="s">
        <v>454</v>
      </c>
      <c r="D171" s="59" t="s">
        <v>455</v>
      </c>
      <c r="F171" s="58" t="s">
        <v>451</v>
      </c>
      <c r="G171" s="59" t="s">
        <v>452</v>
      </c>
      <c r="H171" s="57" t="s">
        <v>454</v>
      </c>
      <c r="I171" s="59" t="s">
        <v>455</v>
      </c>
    </row>
    <row r="172" spans="1:9" x14ac:dyDescent="0.35">
      <c r="A172" s="48">
        <f>AB16+AB25+AB46+AB53+AB71+AB81+AB86+AB92+AB102</f>
        <v>-1206.44</v>
      </c>
      <c r="B172" s="48">
        <f>'Work Hours '!G210</f>
        <v>1149.5</v>
      </c>
      <c r="C172" s="48">
        <f>AB10</f>
        <v>40</v>
      </c>
      <c r="D172" s="48"/>
      <c r="F172" s="48">
        <f>BF16+BF25+BF40+BF49+BF71+BF78+BF86+BF92+BF98</f>
        <v>-1211.1400000000001</v>
      </c>
      <c r="G172" s="48">
        <f>'Work Hours '!G350</f>
        <v>2515.5</v>
      </c>
      <c r="H172" s="48">
        <f>BF10</f>
        <v>0</v>
      </c>
      <c r="I172" s="48"/>
    </row>
    <row r="177" spans="1:59" x14ac:dyDescent="0.35">
      <c r="A177" s="171" t="s">
        <v>979</v>
      </c>
      <c r="B177" s="171"/>
      <c r="C177" s="171"/>
      <c r="D177" s="171"/>
      <c r="F177" s="171" t="s">
        <v>985</v>
      </c>
      <c r="G177" s="171"/>
      <c r="H177" s="171"/>
      <c r="I177" s="171"/>
      <c r="K177" s="171" t="s">
        <v>986</v>
      </c>
      <c r="L177" s="171"/>
      <c r="M177" s="171"/>
      <c r="N177" s="171"/>
      <c r="P177" s="171" t="s">
        <v>987</v>
      </c>
      <c r="Q177" s="171"/>
      <c r="R177" s="171"/>
      <c r="S177" s="171"/>
      <c r="U177" s="171" t="s">
        <v>988</v>
      </c>
      <c r="V177" s="171"/>
      <c r="W177" s="171"/>
      <c r="X177" s="171"/>
      <c r="Z177" s="171" t="s">
        <v>989</v>
      </c>
      <c r="AA177" s="171"/>
      <c r="AB177" s="171"/>
      <c r="AC177" s="171"/>
      <c r="AE177" s="171" t="s">
        <v>990</v>
      </c>
      <c r="AF177" s="171"/>
      <c r="AG177" s="171"/>
      <c r="AH177" s="171"/>
      <c r="AJ177" s="171" t="s">
        <v>993</v>
      </c>
      <c r="AK177" s="171"/>
      <c r="AL177" s="171"/>
      <c r="AM177" s="171"/>
      <c r="AO177" s="171" t="s">
        <v>994</v>
      </c>
      <c r="AP177" s="171"/>
      <c r="AQ177" s="171"/>
      <c r="AR177" s="171"/>
      <c r="AT177" s="171" t="s">
        <v>995</v>
      </c>
      <c r="AU177" s="171"/>
      <c r="AV177" s="171"/>
      <c r="AW177" s="171"/>
      <c r="AY177" s="171" t="s">
        <v>996</v>
      </c>
      <c r="AZ177" s="171"/>
      <c r="BA177" s="171"/>
      <c r="BB177" s="171"/>
      <c r="BD177" s="171" t="s">
        <v>997</v>
      </c>
      <c r="BE177" s="171"/>
      <c r="BF177" s="171"/>
      <c r="BG177" s="171"/>
    </row>
    <row r="178" spans="1:59" x14ac:dyDescent="0.35">
      <c r="A178" s="171"/>
      <c r="B178" s="171"/>
      <c r="C178" s="171"/>
      <c r="D178" s="171"/>
      <c r="F178" s="171"/>
      <c r="G178" s="171"/>
      <c r="H178" s="171"/>
      <c r="I178" s="171"/>
      <c r="K178" s="171"/>
      <c r="L178" s="171"/>
      <c r="M178" s="171"/>
      <c r="N178" s="171"/>
      <c r="P178" s="171"/>
      <c r="Q178" s="171"/>
      <c r="R178" s="171"/>
      <c r="S178" s="171"/>
      <c r="U178" s="171"/>
      <c r="V178" s="171"/>
      <c r="W178" s="171"/>
      <c r="X178" s="171"/>
      <c r="Z178" s="171"/>
      <c r="AA178" s="171"/>
      <c r="AB178" s="171"/>
      <c r="AC178" s="171"/>
      <c r="AE178" s="171"/>
      <c r="AF178" s="171"/>
      <c r="AG178" s="171"/>
      <c r="AH178" s="171"/>
      <c r="AJ178" s="171"/>
      <c r="AK178" s="171"/>
      <c r="AL178" s="171"/>
      <c r="AM178" s="171"/>
      <c r="AO178" s="171"/>
      <c r="AP178" s="171"/>
      <c r="AQ178" s="171"/>
      <c r="AR178" s="171"/>
      <c r="AT178" s="171"/>
      <c r="AU178" s="171"/>
      <c r="AV178" s="171"/>
      <c r="AW178" s="171"/>
      <c r="AY178" s="171"/>
      <c r="AZ178" s="171"/>
      <c r="BA178" s="171"/>
      <c r="BB178" s="171"/>
      <c r="BD178" s="171"/>
      <c r="BE178" s="171"/>
      <c r="BF178" s="171"/>
      <c r="BG178" s="171"/>
    </row>
    <row r="179" spans="1:59" x14ac:dyDescent="0.35">
      <c r="A179" s="50" t="s">
        <v>341</v>
      </c>
      <c r="B179" s="51" t="s">
        <v>340</v>
      </c>
      <c r="C179" s="51" t="s">
        <v>342</v>
      </c>
      <c r="D179" s="51" t="s">
        <v>343</v>
      </c>
      <c r="F179" s="50" t="s">
        <v>341</v>
      </c>
      <c r="G179" s="51" t="s">
        <v>340</v>
      </c>
      <c r="H179" s="51" t="s">
        <v>342</v>
      </c>
      <c r="I179" s="51" t="s">
        <v>343</v>
      </c>
      <c r="K179" s="50" t="s">
        <v>341</v>
      </c>
      <c r="L179" s="51" t="s">
        <v>340</v>
      </c>
      <c r="M179" s="51" t="s">
        <v>342</v>
      </c>
      <c r="N179" s="51" t="s">
        <v>343</v>
      </c>
      <c r="P179" s="50" t="s">
        <v>341</v>
      </c>
      <c r="Q179" s="51" t="s">
        <v>340</v>
      </c>
      <c r="R179" s="51" t="s">
        <v>342</v>
      </c>
      <c r="S179" s="51" t="s">
        <v>343</v>
      </c>
      <c r="U179" s="50" t="s">
        <v>341</v>
      </c>
      <c r="V179" s="51" t="s">
        <v>340</v>
      </c>
      <c r="W179" s="51" t="s">
        <v>342</v>
      </c>
      <c r="X179" s="51" t="s">
        <v>343</v>
      </c>
      <c r="Z179" s="50" t="s">
        <v>341</v>
      </c>
      <c r="AA179" s="51" t="s">
        <v>340</v>
      </c>
      <c r="AB179" s="51" t="s">
        <v>342</v>
      </c>
      <c r="AC179" s="51" t="s">
        <v>343</v>
      </c>
      <c r="AE179" s="50" t="s">
        <v>341</v>
      </c>
      <c r="AF179" s="51" t="s">
        <v>340</v>
      </c>
      <c r="AG179" s="51" t="s">
        <v>342</v>
      </c>
      <c r="AH179" s="51" t="s">
        <v>343</v>
      </c>
      <c r="AJ179" s="50" t="s">
        <v>341</v>
      </c>
      <c r="AK179" s="51" t="s">
        <v>340</v>
      </c>
      <c r="AL179" s="51" t="s">
        <v>342</v>
      </c>
      <c r="AM179" s="51" t="s">
        <v>343</v>
      </c>
      <c r="AO179" s="50" t="s">
        <v>341</v>
      </c>
      <c r="AP179" s="51" t="s">
        <v>340</v>
      </c>
      <c r="AQ179" s="51" t="s">
        <v>342</v>
      </c>
      <c r="AR179" s="51" t="s">
        <v>343</v>
      </c>
      <c r="AT179" s="50" t="s">
        <v>341</v>
      </c>
      <c r="AU179" s="51" t="s">
        <v>340</v>
      </c>
      <c r="AV179" s="51" t="s">
        <v>342</v>
      </c>
      <c r="AW179" s="51" t="s">
        <v>343</v>
      </c>
      <c r="AY179" s="50" t="s">
        <v>341</v>
      </c>
      <c r="AZ179" s="51" t="s">
        <v>340</v>
      </c>
      <c r="BA179" s="51" t="s">
        <v>342</v>
      </c>
      <c r="BB179" s="51" t="s">
        <v>343</v>
      </c>
      <c r="BD179" s="157" t="s">
        <v>341</v>
      </c>
      <c r="BE179" s="51" t="s">
        <v>340</v>
      </c>
      <c r="BF179" s="51" t="s">
        <v>342</v>
      </c>
      <c r="BG179" s="51" t="s">
        <v>343</v>
      </c>
    </row>
    <row r="180" spans="1:59" x14ac:dyDescent="0.35">
      <c r="A180" t="s">
        <v>1104</v>
      </c>
      <c r="B180" s="21">
        <v>45099</v>
      </c>
      <c r="C180" s="48">
        <v>1000</v>
      </c>
      <c r="F180" t="s">
        <v>1102</v>
      </c>
      <c r="G180" s="21">
        <v>45138</v>
      </c>
      <c r="H180" s="48">
        <v>40</v>
      </c>
      <c r="I180" t="s">
        <v>1103</v>
      </c>
      <c r="L180" s="21"/>
      <c r="M180" s="48"/>
      <c r="P180" t="s">
        <v>581</v>
      </c>
      <c r="Q180" s="21">
        <v>45179</v>
      </c>
      <c r="R180" s="48">
        <v>20</v>
      </c>
      <c r="S180" t="s">
        <v>1098</v>
      </c>
      <c r="V180" s="21"/>
      <c r="W180" s="48"/>
      <c r="AA180" s="21"/>
      <c r="AB180" s="48"/>
      <c r="AE180" t="s">
        <v>1236</v>
      </c>
      <c r="AF180" s="21">
        <v>45279</v>
      </c>
      <c r="AG180" s="48"/>
      <c r="AK180" s="21"/>
      <c r="AL180" s="48"/>
      <c r="AP180" s="21"/>
      <c r="AQ180" s="48"/>
      <c r="AU180" s="21"/>
      <c r="AV180" s="48"/>
      <c r="AZ180" s="21"/>
      <c r="BA180" s="48"/>
      <c r="BE180" s="21"/>
      <c r="BF180" s="48"/>
    </row>
    <row r="181" spans="1:59" ht="15" thickBot="1" x14ac:dyDescent="0.4">
      <c r="L181" s="21"/>
      <c r="M181" s="49"/>
      <c r="Q181" s="21"/>
      <c r="R181" s="49"/>
      <c r="V181" s="21"/>
      <c r="W181" s="49"/>
      <c r="AA181" s="21"/>
      <c r="AB181" s="49"/>
      <c r="AE181" t="s">
        <v>1237</v>
      </c>
      <c r="AF181" s="21">
        <v>45285</v>
      </c>
      <c r="AG181" s="49">
        <v>500</v>
      </c>
      <c r="AK181" s="21"/>
      <c r="AL181" s="49"/>
      <c r="AP181" s="21"/>
      <c r="AQ181" s="49"/>
      <c r="AU181" s="21"/>
      <c r="AV181" s="49"/>
      <c r="AZ181" s="21"/>
      <c r="BA181" s="49"/>
      <c r="BE181" s="21"/>
      <c r="BF181" s="49"/>
    </row>
    <row r="182" spans="1:59" x14ac:dyDescent="0.35">
      <c r="B182" s="2"/>
      <c r="C182" s="55">
        <f>SUM(C180:C180)</f>
        <v>1000</v>
      </c>
      <c r="G182" s="2"/>
      <c r="H182" s="55">
        <f>SUM(H180:H181)</f>
        <v>40</v>
      </c>
      <c r="L182" s="2"/>
      <c r="M182" s="48">
        <f>SUM(M180:M181)</f>
        <v>0</v>
      </c>
      <c r="Q182" s="2"/>
      <c r="R182" s="48">
        <f>SUM(R180:R181)</f>
        <v>20</v>
      </c>
      <c r="V182" s="2"/>
      <c r="W182" s="48">
        <f>SUM(W180:W181)</f>
        <v>0</v>
      </c>
      <c r="AA182" s="2"/>
      <c r="AB182" s="48">
        <f>SUM(AB180:AB181)</f>
        <v>0</v>
      </c>
      <c r="AG182" s="48">
        <f>SUM(AG180:AG181)</f>
        <v>500</v>
      </c>
      <c r="AL182" s="48">
        <f>SUM(AL180:AL181)</f>
        <v>0</v>
      </c>
      <c r="AQ182" s="48">
        <f>SUM(AQ180:AQ181)</f>
        <v>0</v>
      </c>
      <c r="AU182" s="2"/>
      <c r="AV182" s="48">
        <f>SUM(AV180:AV181)</f>
        <v>0</v>
      </c>
      <c r="AZ182" s="2"/>
      <c r="BA182" s="48">
        <f>SUM(BA180:BA181)</f>
        <v>0</v>
      </c>
      <c r="BE182" s="2"/>
      <c r="BF182" s="48">
        <f>SUM(BF180:BF181)</f>
        <v>0</v>
      </c>
    </row>
    <row r="185" spans="1:59" x14ac:dyDescent="0.35">
      <c r="A185" s="50" t="s">
        <v>547</v>
      </c>
      <c r="B185" s="51" t="s">
        <v>340</v>
      </c>
      <c r="C185" s="51" t="s">
        <v>342</v>
      </c>
      <c r="D185" s="51" t="s">
        <v>343</v>
      </c>
      <c r="F185" s="50" t="s">
        <v>547</v>
      </c>
      <c r="G185" s="51" t="s">
        <v>340</v>
      </c>
      <c r="H185" s="51" t="s">
        <v>342</v>
      </c>
      <c r="I185" s="51" t="s">
        <v>343</v>
      </c>
      <c r="K185" s="50" t="s">
        <v>547</v>
      </c>
      <c r="L185" s="51" t="s">
        <v>340</v>
      </c>
      <c r="M185" s="51" t="s">
        <v>342</v>
      </c>
      <c r="N185" s="51" t="s">
        <v>343</v>
      </c>
      <c r="P185" s="50" t="s">
        <v>547</v>
      </c>
      <c r="Q185" s="51" t="s">
        <v>340</v>
      </c>
      <c r="R185" s="51" t="s">
        <v>342</v>
      </c>
      <c r="S185" s="51" t="s">
        <v>343</v>
      </c>
      <c r="U185" s="50" t="s">
        <v>547</v>
      </c>
      <c r="V185" s="51" t="s">
        <v>340</v>
      </c>
      <c r="W185" s="51" t="s">
        <v>342</v>
      </c>
      <c r="X185" s="51" t="s">
        <v>343</v>
      </c>
      <c r="Z185" s="50" t="s">
        <v>547</v>
      </c>
      <c r="AA185" s="51" t="s">
        <v>340</v>
      </c>
      <c r="AB185" s="51" t="s">
        <v>342</v>
      </c>
      <c r="AC185" s="51" t="s">
        <v>343</v>
      </c>
      <c r="AE185" s="50" t="s">
        <v>547</v>
      </c>
      <c r="AF185" s="51" t="s">
        <v>340</v>
      </c>
      <c r="AG185" s="51" t="s">
        <v>342</v>
      </c>
      <c r="AH185" s="51" t="s">
        <v>343</v>
      </c>
      <c r="AJ185" s="50" t="s">
        <v>547</v>
      </c>
      <c r="AK185" s="51" t="s">
        <v>340</v>
      </c>
      <c r="AL185" s="51" t="s">
        <v>342</v>
      </c>
      <c r="AM185" s="51" t="s">
        <v>343</v>
      </c>
      <c r="AO185" s="50" t="s">
        <v>547</v>
      </c>
      <c r="AP185" s="51" t="s">
        <v>340</v>
      </c>
      <c r="AQ185" s="51" t="s">
        <v>342</v>
      </c>
      <c r="AR185" s="51" t="s">
        <v>343</v>
      </c>
      <c r="AT185" s="50" t="s">
        <v>547</v>
      </c>
      <c r="AU185" s="51" t="s">
        <v>340</v>
      </c>
      <c r="AV185" s="51" t="s">
        <v>342</v>
      </c>
      <c r="AW185" s="51" t="s">
        <v>343</v>
      </c>
      <c r="AY185" s="50" t="s">
        <v>547</v>
      </c>
      <c r="AZ185" s="51" t="s">
        <v>340</v>
      </c>
      <c r="BA185" s="51" t="s">
        <v>342</v>
      </c>
      <c r="BB185" s="51" t="s">
        <v>343</v>
      </c>
      <c r="BD185" s="157" t="s">
        <v>547</v>
      </c>
      <c r="BE185" s="51" t="s">
        <v>340</v>
      </c>
      <c r="BF185" s="51" t="s">
        <v>342</v>
      </c>
      <c r="BG185" s="51" t="s">
        <v>343</v>
      </c>
    </row>
    <row r="186" spans="1:59" x14ac:dyDescent="0.35">
      <c r="A186" t="s">
        <v>1054</v>
      </c>
      <c r="B186" s="21">
        <v>44736</v>
      </c>
      <c r="C186" s="48">
        <v>-227.8</v>
      </c>
      <c r="F186" t="s">
        <v>1053</v>
      </c>
      <c r="G186" s="21">
        <v>44767</v>
      </c>
      <c r="H186" s="48">
        <v>-300</v>
      </c>
      <c r="Z186" t="s">
        <v>1291</v>
      </c>
      <c r="AA186" s="21">
        <v>45243</v>
      </c>
      <c r="AB186" s="48">
        <v>-69.94</v>
      </c>
      <c r="AO186" t="s">
        <v>1418</v>
      </c>
      <c r="AP186" s="21">
        <v>45343</v>
      </c>
      <c r="AQ186">
        <v>-14.38</v>
      </c>
    </row>
    <row r="187" spans="1:59" ht="15" thickBot="1" x14ac:dyDescent="0.4">
      <c r="B187" s="21"/>
      <c r="C187" s="49"/>
      <c r="G187" s="21"/>
      <c r="H187" s="49"/>
      <c r="L187" s="21"/>
      <c r="M187" s="49"/>
      <c r="Q187" s="21"/>
      <c r="R187" s="49"/>
      <c r="V187" s="21"/>
      <c r="W187" s="49"/>
      <c r="AA187" s="21"/>
      <c r="AB187" s="49"/>
      <c r="AF187" s="21"/>
      <c r="AG187" s="49"/>
      <c r="AK187" s="21"/>
      <c r="AL187" s="49"/>
      <c r="AP187" s="21"/>
      <c r="AQ187" s="49"/>
      <c r="AU187" s="21"/>
      <c r="AV187" s="49"/>
      <c r="AZ187" s="21"/>
      <c r="BA187" s="49"/>
      <c r="BE187" s="21"/>
      <c r="BF187" s="49"/>
    </row>
    <row r="188" spans="1:59" x14ac:dyDescent="0.35">
      <c r="B188" s="2"/>
      <c r="C188" s="48">
        <f>SUM(C186:C187)</f>
        <v>-227.8</v>
      </c>
      <c r="G188" s="2"/>
      <c r="H188" s="55">
        <f>SUM(H186:H187)</f>
        <v>-300</v>
      </c>
      <c r="L188" s="2"/>
      <c r="M188" s="48">
        <f>SUM(M186:M187)</f>
        <v>0</v>
      </c>
      <c r="Q188" s="2"/>
      <c r="R188" s="48">
        <f>SUM(R186:R187)</f>
        <v>0</v>
      </c>
      <c r="V188" s="2"/>
      <c r="W188" s="48">
        <f>SUM(W186:W187)</f>
        <v>0</v>
      </c>
      <c r="AA188" s="2"/>
      <c r="AB188" s="48">
        <f>SUM(AB186:AB187)</f>
        <v>-69.94</v>
      </c>
      <c r="AG188" s="48">
        <f>SUM(AG186:AG187)</f>
        <v>0</v>
      </c>
      <c r="AL188" s="48">
        <f>SUM(AL186:AL187)</f>
        <v>0</v>
      </c>
      <c r="AQ188" s="48">
        <f>SUM(AQ186:AQ187)</f>
        <v>-14.38</v>
      </c>
      <c r="AU188" s="2"/>
      <c r="AV188" s="48">
        <f>SUM(AV186:AV187)</f>
        <v>0</v>
      </c>
      <c r="AZ188" s="2"/>
      <c r="BA188" s="48">
        <f>SUM(BA186:BA187)</f>
        <v>0</v>
      </c>
      <c r="BE188" s="2"/>
      <c r="BF188" s="48">
        <f>SUM(BF186:BF187)</f>
        <v>0</v>
      </c>
    </row>
    <row r="191" spans="1:59" x14ac:dyDescent="0.35">
      <c r="A191" s="50" t="s">
        <v>327</v>
      </c>
      <c r="B191" s="51" t="s">
        <v>340</v>
      </c>
      <c r="C191" s="51" t="s">
        <v>342</v>
      </c>
      <c r="D191" s="51" t="s">
        <v>343</v>
      </c>
      <c r="F191" s="50" t="s">
        <v>327</v>
      </c>
      <c r="G191" s="51" t="s">
        <v>340</v>
      </c>
      <c r="H191" s="51" t="s">
        <v>342</v>
      </c>
      <c r="I191" s="51" t="s">
        <v>343</v>
      </c>
      <c r="K191" s="50" t="s">
        <v>327</v>
      </c>
      <c r="L191" s="51" t="s">
        <v>340</v>
      </c>
      <c r="M191" s="51" t="s">
        <v>342</v>
      </c>
      <c r="N191" s="51" t="s">
        <v>343</v>
      </c>
      <c r="P191" s="50" t="s">
        <v>327</v>
      </c>
      <c r="Q191" s="51" t="s">
        <v>340</v>
      </c>
      <c r="R191" s="51" t="s">
        <v>342</v>
      </c>
      <c r="S191" s="51" t="s">
        <v>343</v>
      </c>
      <c r="U191" s="50" t="s">
        <v>327</v>
      </c>
      <c r="V191" s="51" t="s">
        <v>340</v>
      </c>
      <c r="W191" s="51" t="s">
        <v>342</v>
      </c>
      <c r="X191" s="51" t="s">
        <v>343</v>
      </c>
      <c r="Z191" s="50" t="s">
        <v>327</v>
      </c>
      <c r="AA191" s="51" t="s">
        <v>340</v>
      </c>
      <c r="AB191" s="51" t="s">
        <v>342</v>
      </c>
      <c r="AC191" s="51" t="s">
        <v>343</v>
      </c>
      <c r="AE191" s="50" t="s">
        <v>327</v>
      </c>
      <c r="AF191" s="51" t="s">
        <v>340</v>
      </c>
      <c r="AG191" s="51" t="s">
        <v>342</v>
      </c>
      <c r="AH191" s="51" t="s">
        <v>343</v>
      </c>
      <c r="AJ191" s="50" t="s">
        <v>327</v>
      </c>
      <c r="AK191" s="51" t="s">
        <v>340</v>
      </c>
      <c r="AL191" s="51" t="s">
        <v>342</v>
      </c>
      <c r="AM191" s="51" t="s">
        <v>343</v>
      </c>
      <c r="AO191" s="50" t="s">
        <v>327</v>
      </c>
      <c r="AP191" s="51" t="s">
        <v>340</v>
      </c>
      <c r="AQ191" s="51" t="s">
        <v>342</v>
      </c>
      <c r="AR191" s="51" t="s">
        <v>343</v>
      </c>
      <c r="AT191" s="50" t="s">
        <v>327</v>
      </c>
      <c r="AU191" s="51" t="s">
        <v>340</v>
      </c>
      <c r="AV191" s="51" t="s">
        <v>342</v>
      </c>
      <c r="AW191" s="51" t="s">
        <v>343</v>
      </c>
      <c r="AY191" s="50" t="s">
        <v>327</v>
      </c>
      <c r="AZ191" s="51" t="s">
        <v>340</v>
      </c>
      <c r="BA191" s="51" t="s">
        <v>342</v>
      </c>
      <c r="BB191" s="51" t="s">
        <v>343</v>
      </c>
      <c r="BD191" s="157" t="s">
        <v>327</v>
      </c>
      <c r="BE191" s="51" t="s">
        <v>340</v>
      </c>
      <c r="BF191" s="51" t="s">
        <v>342</v>
      </c>
      <c r="BG191" s="51" t="s">
        <v>343</v>
      </c>
    </row>
    <row r="192" spans="1:59" x14ac:dyDescent="0.35">
      <c r="A192" t="s">
        <v>351</v>
      </c>
      <c r="B192" s="21">
        <v>44719</v>
      </c>
      <c r="C192" s="48">
        <v>-20</v>
      </c>
      <c r="F192" t="s">
        <v>351</v>
      </c>
      <c r="G192" s="21">
        <v>44748</v>
      </c>
      <c r="H192" s="48">
        <v>-20</v>
      </c>
      <c r="K192" t="s">
        <v>1105</v>
      </c>
      <c r="L192" s="21">
        <v>45143</v>
      </c>
      <c r="M192" s="48">
        <v>-20</v>
      </c>
      <c r="P192" t="s">
        <v>1105</v>
      </c>
      <c r="Q192" s="21">
        <v>45182</v>
      </c>
      <c r="R192" s="48">
        <v>-25</v>
      </c>
      <c r="U192" t="s">
        <v>1105</v>
      </c>
      <c r="V192" s="21">
        <v>45202</v>
      </c>
      <c r="W192" s="48">
        <v>-40</v>
      </c>
      <c r="Z192" t="s">
        <v>1105</v>
      </c>
      <c r="AA192" s="21">
        <v>45232</v>
      </c>
      <c r="AB192" s="48">
        <v>-45</v>
      </c>
      <c r="AE192" t="s">
        <v>1105</v>
      </c>
      <c r="AF192" s="21">
        <v>45265</v>
      </c>
      <c r="AG192" s="48">
        <v>-25</v>
      </c>
      <c r="AJ192" t="s">
        <v>351</v>
      </c>
      <c r="AK192" s="21">
        <v>45294</v>
      </c>
      <c r="AL192" s="48">
        <v>-30</v>
      </c>
      <c r="AO192" t="s">
        <v>351</v>
      </c>
      <c r="AP192" s="21">
        <v>45323</v>
      </c>
      <c r="AQ192" s="48">
        <v>-32.25</v>
      </c>
      <c r="AT192" t="s">
        <v>351</v>
      </c>
      <c r="AU192" s="21">
        <v>45356</v>
      </c>
      <c r="AV192" s="48">
        <v>-35</v>
      </c>
      <c r="AY192" t="s">
        <v>351</v>
      </c>
      <c r="AZ192" s="21">
        <v>45386</v>
      </c>
      <c r="BA192" s="48">
        <v>-45</v>
      </c>
      <c r="BD192" s="38" t="s">
        <v>351</v>
      </c>
      <c r="BE192" s="21">
        <v>45417</v>
      </c>
      <c r="BF192" s="48">
        <v>-30</v>
      </c>
    </row>
    <row r="193" spans="1:59" x14ac:dyDescent="0.35">
      <c r="A193" t="s">
        <v>351</v>
      </c>
      <c r="B193" s="21">
        <v>44725</v>
      </c>
      <c r="C193" s="48">
        <v>-21</v>
      </c>
      <c r="F193" t="s">
        <v>351</v>
      </c>
      <c r="G193" s="21">
        <v>44749</v>
      </c>
      <c r="H193" s="48">
        <v>-25.04</v>
      </c>
      <c r="K193" t="s">
        <v>1105</v>
      </c>
      <c r="L193" s="21">
        <v>45149</v>
      </c>
      <c r="M193" s="48">
        <v>-20</v>
      </c>
      <c r="P193" t="s">
        <v>1105</v>
      </c>
      <c r="Q193" s="21">
        <v>45188</v>
      </c>
      <c r="R193" s="48">
        <v>-25</v>
      </c>
      <c r="U193" t="s">
        <v>1105</v>
      </c>
      <c r="V193" s="21">
        <v>45212</v>
      </c>
      <c r="W193" s="48">
        <v>-30</v>
      </c>
      <c r="Z193" t="s">
        <v>1105</v>
      </c>
      <c r="AA193" s="21">
        <v>45244</v>
      </c>
      <c r="AB193" s="48">
        <v>-35</v>
      </c>
      <c r="AE193" t="s">
        <v>1105</v>
      </c>
      <c r="AF193" s="21">
        <v>45269</v>
      </c>
      <c r="AG193" s="48">
        <v>-15</v>
      </c>
      <c r="AJ193" t="s">
        <v>351</v>
      </c>
      <c r="AK193" s="21">
        <v>45302</v>
      </c>
      <c r="AL193" s="48">
        <v>-30</v>
      </c>
      <c r="AO193" t="s">
        <v>351</v>
      </c>
      <c r="AP193" s="21">
        <v>45340</v>
      </c>
      <c r="AQ193" s="48">
        <v>-30</v>
      </c>
      <c r="AT193" t="s">
        <v>351</v>
      </c>
      <c r="AU193" s="21">
        <v>45358</v>
      </c>
      <c r="AV193" s="48">
        <v>-25</v>
      </c>
      <c r="AY193" t="s">
        <v>351</v>
      </c>
      <c r="AZ193" s="21">
        <v>45394</v>
      </c>
      <c r="BA193" s="48">
        <v>-25</v>
      </c>
      <c r="BD193" s="38" t="s">
        <v>351</v>
      </c>
      <c r="BE193" s="21">
        <v>45427</v>
      </c>
      <c r="BF193" s="48">
        <v>-30</v>
      </c>
    </row>
    <row r="194" spans="1:59" ht="15" thickBot="1" x14ac:dyDescent="0.4">
      <c r="A194" t="s">
        <v>351</v>
      </c>
      <c r="B194" s="21">
        <v>44725</v>
      </c>
      <c r="C194" s="48">
        <v>-25</v>
      </c>
      <c r="F194" t="s">
        <v>351</v>
      </c>
      <c r="G194" s="21">
        <v>44753</v>
      </c>
      <c r="H194" s="48">
        <v>-60.01</v>
      </c>
      <c r="K194" t="s">
        <v>1105</v>
      </c>
      <c r="L194" s="21">
        <v>45156</v>
      </c>
      <c r="M194" s="48">
        <v>-20.010000000000002</v>
      </c>
      <c r="Q194" s="21"/>
      <c r="R194" s="49"/>
      <c r="U194" t="s">
        <v>1105</v>
      </c>
      <c r="V194" s="21">
        <v>45226</v>
      </c>
      <c r="W194" s="48">
        <v>-30</v>
      </c>
      <c r="Z194" t="s">
        <v>1105</v>
      </c>
      <c r="AA194" s="21">
        <v>45251</v>
      </c>
      <c r="AB194" s="48">
        <v>-25</v>
      </c>
      <c r="AE194" t="s">
        <v>1105</v>
      </c>
      <c r="AF194" s="21">
        <v>45275</v>
      </c>
      <c r="AG194" s="48">
        <v>-20</v>
      </c>
      <c r="AJ194" t="s">
        <v>351</v>
      </c>
      <c r="AK194" s="21">
        <v>45308</v>
      </c>
      <c r="AL194" s="48">
        <v>-40</v>
      </c>
      <c r="AO194" t="s">
        <v>351</v>
      </c>
      <c r="AP194" s="21">
        <v>45346</v>
      </c>
      <c r="AQ194" s="48">
        <v>-30</v>
      </c>
      <c r="AT194" t="s">
        <v>351</v>
      </c>
      <c r="AU194" s="21">
        <v>45362</v>
      </c>
      <c r="AV194" s="48">
        <v>-25</v>
      </c>
      <c r="AY194" t="s">
        <v>351</v>
      </c>
      <c r="AZ194" s="21">
        <v>45400</v>
      </c>
      <c r="BA194" s="48">
        <v>-30</v>
      </c>
      <c r="BD194" s="38" t="s">
        <v>351</v>
      </c>
      <c r="BE194" s="21">
        <v>45432</v>
      </c>
      <c r="BF194" s="48">
        <v>-25</v>
      </c>
    </row>
    <row r="195" spans="1:59" ht="15" thickBot="1" x14ac:dyDescent="0.4">
      <c r="A195" t="s">
        <v>351</v>
      </c>
      <c r="B195" s="21">
        <v>44732</v>
      </c>
      <c r="C195" s="48">
        <v>-25</v>
      </c>
      <c r="F195" t="s">
        <v>351</v>
      </c>
      <c r="G195" s="21">
        <v>44762</v>
      </c>
      <c r="H195" s="48">
        <v>-39</v>
      </c>
      <c r="I195" t="s">
        <v>1045</v>
      </c>
      <c r="K195" t="s">
        <v>1105</v>
      </c>
      <c r="L195" s="21">
        <v>45157</v>
      </c>
      <c r="M195" s="48">
        <v>-30</v>
      </c>
      <c r="Q195" s="2"/>
      <c r="R195" s="48">
        <f>SUM(R192:R194)</f>
        <v>-50</v>
      </c>
      <c r="V195" s="21"/>
      <c r="W195" s="49"/>
      <c r="Z195" t="s">
        <v>1105</v>
      </c>
      <c r="AA195" s="21">
        <v>45257</v>
      </c>
      <c r="AB195" s="48">
        <v>-25</v>
      </c>
      <c r="AE195" t="s">
        <v>1105</v>
      </c>
      <c r="AF195" s="21">
        <v>45282</v>
      </c>
      <c r="AG195" s="48">
        <v>-30</v>
      </c>
      <c r="AJ195" t="s">
        <v>351</v>
      </c>
      <c r="AK195" s="21">
        <v>45319</v>
      </c>
      <c r="AL195" s="48">
        <v>-40</v>
      </c>
      <c r="AP195" s="21"/>
      <c r="AQ195" s="48"/>
      <c r="AT195" t="s">
        <v>351</v>
      </c>
      <c r="AU195" s="21">
        <v>45375</v>
      </c>
      <c r="AV195" s="48">
        <v>-30</v>
      </c>
      <c r="AY195" t="s">
        <v>351</v>
      </c>
      <c r="AZ195" s="21">
        <v>45406</v>
      </c>
      <c r="BA195" s="48">
        <v>-36</v>
      </c>
      <c r="BD195" s="38" t="s">
        <v>351</v>
      </c>
      <c r="BE195" s="21">
        <v>45433</v>
      </c>
      <c r="BF195" s="48">
        <v>-50</v>
      </c>
    </row>
    <row r="196" spans="1:59" ht="15" thickBot="1" x14ac:dyDescent="0.4">
      <c r="A196" t="s">
        <v>351</v>
      </c>
      <c r="B196" s="21">
        <v>44740</v>
      </c>
      <c r="C196" s="48">
        <v>-25</v>
      </c>
      <c r="G196" s="2"/>
      <c r="H196" s="55">
        <f>SUM(H192:H195)</f>
        <v>-144.05000000000001</v>
      </c>
      <c r="L196" s="2"/>
      <c r="M196" s="55">
        <f>SUM(M192:M195)</f>
        <v>-90.01</v>
      </c>
      <c r="V196" s="2"/>
      <c r="W196" s="48">
        <f>SUM(W192:W195)</f>
        <v>-100</v>
      </c>
      <c r="AA196" s="2"/>
      <c r="AB196" s="55">
        <f>SUM(AB192:AB195)</f>
        <v>-130</v>
      </c>
      <c r="AF196" s="21"/>
      <c r="AG196" s="49"/>
      <c r="AK196" s="21"/>
      <c r="AL196" s="49"/>
      <c r="AP196" s="21"/>
      <c r="AQ196" s="49"/>
      <c r="AT196" t="s">
        <v>351</v>
      </c>
      <c r="AU196" s="21">
        <v>45380</v>
      </c>
      <c r="AV196" s="48">
        <v>-30</v>
      </c>
      <c r="AY196" t="s">
        <v>351</v>
      </c>
      <c r="AZ196" s="21">
        <v>45411</v>
      </c>
      <c r="BA196" s="48">
        <v>-30</v>
      </c>
      <c r="BD196" s="38" t="s">
        <v>351</v>
      </c>
      <c r="BE196" s="21">
        <v>45441</v>
      </c>
      <c r="BF196" s="48">
        <v>-30</v>
      </c>
    </row>
    <row r="197" spans="1:59" x14ac:dyDescent="0.35">
      <c r="B197" s="2"/>
      <c r="C197" s="55">
        <f>SUM(C192:C196)</f>
        <v>-116</v>
      </c>
      <c r="AG197" s="48">
        <f>SUM(AG192:AG196)</f>
        <v>-90</v>
      </c>
      <c r="AL197" s="48">
        <f>SUM(AL192:AL196)</f>
        <v>-140</v>
      </c>
      <c r="AQ197" s="48">
        <f>SUM(AQ192:AQ196)</f>
        <v>-92.25</v>
      </c>
      <c r="AV197" s="55">
        <f>SUM(AV192:AV196)</f>
        <v>-145</v>
      </c>
      <c r="AZ197" s="2"/>
      <c r="BA197" s="55">
        <f>SUM(BA192:BA196)</f>
        <v>-166</v>
      </c>
      <c r="BE197" s="2"/>
      <c r="BF197" s="55">
        <f>SUM(BF192:BF196)</f>
        <v>-165</v>
      </c>
    </row>
    <row r="198" spans="1:59" x14ac:dyDescent="0.35">
      <c r="P198" s="50" t="s">
        <v>329</v>
      </c>
      <c r="Q198" s="51" t="s">
        <v>340</v>
      </c>
      <c r="R198" s="51" t="s">
        <v>342</v>
      </c>
      <c r="S198" s="51" t="s">
        <v>343</v>
      </c>
    </row>
    <row r="199" spans="1:59" x14ac:dyDescent="0.35">
      <c r="F199" s="50" t="s">
        <v>329</v>
      </c>
      <c r="G199" s="51" t="s">
        <v>340</v>
      </c>
      <c r="H199" s="51" t="s">
        <v>342</v>
      </c>
      <c r="I199" s="51" t="s">
        <v>343</v>
      </c>
      <c r="K199" s="50" t="s">
        <v>329</v>
      </c>
      <c r="L199" s="51" t="s">
        <v>340</v>
      </c>
      <c r="M199" s="51" t="s">
        <v>342</v>
      </c>
      <c r="N199" s="51" t="s">
        <v>343</v>
      </c>
      <c r="P199" t="s">
        <v>1105</v>
      </c>
      <c r="Q199" s="21">
        <v>45170</v>
      </c>
      <c r="R199" s="48">
        <v>-11.25</v>
      </c>
      <c r="U199" s="50" t="s">
        <v>329</v>
      </c>
      <c r="V199" s="51" t="s">
        <v>340</v>
      </c>
      <c r="W199" s="51" t="s">
        <v>342</v>
      </c>
      <c r="X199" s="51" t="s">
        <v>343</v>
      </c>
      <c r="Z199" s="50" t="s">
        <v>329</v>
      </c>
      <c r="AA199" s="51" t="s">
        <v>340</v>
      </c>
      <c r="AB199" s="51" t="s">
        <v>342</v>
      </c>
      <c r="AC199" s="51" t="s">
        <v>343</v>
      </c>
    </row>
    <row r="200" spans="1:59" x14ac:dyDescent="0.35">
      <c r="A200" s="50" t="s">
        <v>329</v>
      </c>
      <c r="B200" s="51" t="s">
        <v>340</v>
      </c>
      <c r="C200" s="51" t="s">
        <v>342</v>
      </c>
      <c r="D200" s="51" t="s">
        <v>343</v>
      </c>
      <c r="F200" t="s">
        <v>351</v>
      </c>
      <c r="G200" s="21">
        <v>44744</v>
      </c>
      <c r="H200" s="48">
        <v>-11.25</v>
      </c>
      <c r="K200" t="s">
        <v>1105</v>
      </c>
      <c r="L200" s="21">
        <v>45143</v>
      </c>
      <c r="M200" s="48">
        <v>-11.25</v>
      </c>
      <c r="P200" t="s">
        <v>1105</v>
      </c>
      <c r="Q200" s="21">
        <v>45172</v>
      </c>
      <c r="R200" s="48">
        <v>-11.25</v>
      </c>
      <c r="U200" t="s">
        <v>1105</v>
      </c>
      <c r="V200" s="21">
        <v>45201</v>
      </c>
      <c r="W200" s="48">
        <v>-11.25</v>
      </c>
      <c r="Z200" t="s">
        <v>1105</v>
      </c>
      <c r="AA200" s="21">
        <v>45232</v>
      </c>
      <c r="AB200" s="48">
        <v>-4.7300000000000004</v>
      </c>
      <c r="AE200" s="50" t="s">
        <v>329</v>
      </c>
      <c r="AF200" s="51" t="s">
        <v>340</v>
      </c>
      <c r="AG200" s="51" t="s">
        <v>342</v>
      </c>
      <c r="AH200" s="51" t="s">
        <v>343</v>
      </c>
      <c r="AJ200" s="50" t="s">
        <v>329</v>
      </c>
      <c r="AK200" s="51" t="s">
        <v>340</v>
      </c>
      <c r="AL200" s="51" t="s">
        <v>342</v>
      </c>
      <c r="AM200" s="51" t="s">
        <v>343</v>
      </c>
      <c r="AO200" s="50" t="s">
        <v>329</v>
      </c>
      <c r="AP200" s="51" t="s">
        <v>340</v>
      </c>
      <c r="AQ200" s="51" t="s">
        <v>342</v>
      </c>
      <c r="AR200" s="51" t="s">
        <v>343</v>
      </c>
      <c r="AT200" s="50" t="s">
        <v>329</v>
      </c>
      <c r="AU200" s="51" t="s">
        <v>340</v>
      </c>
      <c r="AV200" s="51" t="s">
        <v>342</v>
      </c>
      <c r="AW200" s="51" t="s">
        <v>343</v>
      </c>
      <c r="AY200" s="50" t="s">
        <v>329</v>
      </c>
      <c r="AZ200" s="51" t="s">
        <v>340</v>
      </c>
      <c r="BA200" s="51" t="s">
        <v>342</v>
      </c>
      <c r="BB200" s="51" t="s">
        <v>343</v>
      </c>
      <c r="BD200" s="157" t="s">
        <v>329</v>
      </c>
      <c r="BE200" s="51" t="s">
        <v>340</v>
      </c>
      <c r="BF200" s="51" t="s">
        <v>342</v>
      </c>
      <c r="BG200" s="51" t="s">
        <v>343</v>
      </c>
    </row>
    <row r="201" spans="1:59" x14ac:dyDescent="0.35">
      <c r="A201" t="s">
        <v>351</v>
      </c>
      <c r="B201" s="21">
        <v>44713</v>
      </c>
      <c r="C201" s="48">
        <v>-11.25</v>
      </c>
      <c r="F201" t="s">
        <v>351</v>
      </c>
      <c r="G201" s="21">
        <v>44746</v>
      </c>
      <c r="H201" s="48">
        <v>-3.57</v>
      </c>
      <c r="K201" t="s">
        <v>1105</v>
      </c>
      <c r="L201" s="21">
        <v>45145</v>
      </c>
      <c r="M201" s="48">
        <v>-8.82</v>
      </c>
      <c r="P201" t="s">
        <v>1105</v>
      </c>
      <c r="Q201" s="21">
        <v>45173</v>
      </c>
      <c r="R201" s="48">
        <v>-18.09</v>
      </c>
      <c r="U201" t="s">
        <v>1105</v>
      </c>
      <c r="V201" s="21">
        <v>45202</v>
      </c>
      <c r="W201" s="48">
        <v>-2.94</v>
      </c>
      <c r="Z201" t="s">
        <v>1105</v>
      </c>
      <c r="AA201" s="21">
        <v>45232</v>
      </c>
      <c r="AB201" s="48">
        <v>-2.94</v>
      </c>
      <c r="AE201" t="s">
        <v>1105</v>
      </c>
      <c r="AF201" s="21">
        <v>45265</v>
      </c>
      <c r="AG201" s="48">
        <v>-5.26</v>
      </c>
      <c r="AJ201" t="s">
        <v>351</v>
      </c>
      <c r="AK201" s="21">
        <v>45293</v>
      </c>
      <c r="AL201" s="48">
        <v>-8.93</v>
      </c>
      <c r="AO201" t="s">
        <v>351</v>
      </c>
      <c r="AP201" s="21">
        <v>45323</v>
      </c>
      <c r="AQ201" s="48">
        <v>-7.69</v>
      </c>
      <c r="AT201" t="s">
        <v>351</v>
      </c>
      <c r="AU201" s="21">
        <v>45352</v>
      </c>
      <c r="AV201" s="48">
        <v>-6.29</v>
      </c>
      <c r="AY201" t="s">
        <v>351</v>
      </c>
      <c r="AZ201" s="21">
        <v>45383</v>
      </c>
      <c r="BA201" s="48">
        <v>-6.29</v>
      </c>
      <c r="BD201" s="38" t="s">
        <v>351</v>
      </c>
      <c r="BE201" s="21">
        <v>45414</v>
      </c>
      <c r="BF201" s="48">
        <v>-11.88</v>
      </c>
    </row>
    <row r="202" spans="1:59" x14ac:dyDescent="0.35">
      <c r="A202" t="s">
        <v>351</v>
      </c>
      <c r="B202" s="21">
        <v>44714</v>
      </c>
      <c r="C202" s="48">
        <v>-35.75</v>
      </c>
      <c r="F202" t="s">
        <v>351</v>
      </c>
      <c r="G202" s="21">
        <v>44748</v>
      </c>
      <c r="H202" s="48">
        <v>-12.44</v>
      </c>
      <c r="K202" t="s">
        <v>1105</v>
      </c>
      <c r="L202" s="21">
        <v>45147</v>
      </c>
      <c r="M202" s="48">
        <v>-5.99</v>
      </c>
      <c r="P202" t="s">
        <v>1105</v>
      </c>
      <c r="Q202" s="21">
        <v>45181</v>
      </c>
      <c r="R202" s="48">
        <v>-5.26</v>
      </c>
      <c r="U202" t="s">
        <v>1105</v>
      </c>
      <c r="V202" s="21">
        <v>45204</v>
      </c>
      <c r="W202" s="48">
        <v>-5.26</v>
      </c>
      <c r="Z202" t="s">
        <v>1105</v>
      </c>
      <c r="AA202" s="21">
        <v>45232</v>
      </c>
      <c r="AB202" s="48">
        <v>-5.99</v>
      </c>
      <c r="AE202" t="s">
        <v>1105</v>
      </c>
      <c r="AF202" s="21">
        <v>45269</v>
      </c>
      <c r="AG202" s="48">
        <v>-5.26</v>
      </c>
      <c r="AJ202" t="s">
        <v>351</v>
      </c>
      <c r="AK202" s="21">
        <v>45294</v>
      </c>
      <c r="AL202" s="48">
        <v>-2.98</v>
      </c>
      <c r="AO202" t="s">
        <v>1395</v>
      </c>
      <c r="AP202" s="21">
        <v>45324</v>
      </c>
      <c r="AQ202" s="48">
        <v>-8.9700000000000006</v>
      </c>
      <c r="AT202" t="s">
        <v>351</v>
      </c>
      <c r="AU202" s="21">
        <v>45354</v>
      </c>
      <c r="AV202" s="48">
        <v>-9.23</v>
      </c>
      <c r="AY202" t="s">
        <v>351</v>
      </c>
      <c r="AZ202" s="21">
        <v>45384</v>
      </c>
      <c r="BA202" s="48">
        <v>-6.29</v>
      </c>
      <c r="BD202" s="38" t="s">
        <v>351</v>
      </c>
      <c r="BE202" s="21">
        <v>45420</v>
      </c>
      <c r="BF202" s="48">
        <v>-6.29</v>
      </c>
    </row>
    <row r="203" spans="1:59" x14ac:dyDescent="0.35">
      <c r="A203" t="s">
        <v>351</v>
      </c>
      <c r="B203" s="21">
        <v>44715</v>
      </c>
      <c r="C203" s="48">
        <v>-6.82</v>
      </c>
      <c r="F203" t="s">
        <v>351</v>
      </c>
      <c r="G203" s="21">
        <v>44750</v>
      </c>
      <c r="H203" s="48">
        <v>-8.82</v>
      </c>
      <c r="K203" t="s">
        <v>1105</v>
      </c>
      <c r="L203" s="21">
        <v>45149</v>
      </c>
      <c r="M203" s="48">
        <v>-5.26</v>
      </c>
      <c r="P203" t="s">
        <v>1105</v>
      </c>
      <c r="Q203" s="21">
        <v>45183</v>
      </c>
      <c r="R203" s="48">
        <v>-13.15</v>
      </c>
      <c r="U203" t="s">
        <v>1105</v>
      </c>
      <c r="V203" s="21">
        <v>45208</v>
      </c>
      <c r="W203" s="48">
        <v>-11.25</v>
      </c>
      <c r="Z203" t="s">
        <v>1105</v>
      </c>
      <c r="AA203" s="21">
        <v>45234</v>
      </c>
      <c r="AB203" s="48">
        <v>-2.94</v>
      </c>
      <c r="AE203" t="s">
        <v>1105</v>
      </c>
      <c r="AF203" s="21">
        <v>45269</v>
      </c>
      <c r="AG203" s="48">
        <v>-8.93</v>
      </c>
      <c r="AJ203" t="s">
        <v>351</v>
      </c>
      <c r="AK203" s="21">
        <v>45295</v>
      </c>
      <c r="AL203" s="48">
        <v>-17.920000000000002</v>
      </c>
      <c r="AO203" t="s">
        <v>1402</v>
      </c>
      <c r="AP203" s="21">
        <v>45325</v>
      </c>
      <c r="AQ203" s="48">
        <v>-2.87</v>
      </c>
      <c r="AT203" t="s">
        <v>351</v>
      </c>
      <c r="AU203" s="21">
        <v>45358</v>
      </c>
      <c r="AV203" s="48">
        <v>-1.49</v>
      </c>
      <c r="AY203" t="s">
        <v>351</v>
      </c>
      <c r="AZ203" s="21">
        <v>45386</v>
      </c>
      <c r="BA203" s="48">
        <v>-2.73</v>
      </c>
      <c r="BD203" s="38" t="s">
        <v>351</v>
      </c>
      <c r="BE203" s="21">
        <v>45421</v>
      </c>
      <c r="BF203" s="48">
        <v>-9.6300000000000008</v>
      </c>
    </row>
    <row r="204" spans="1:59" x14ac:dyDescent="0.35">
      <c r="A204" t="s">
        <v>351</v>
      </c>
      <c r="B204" s="21">
        <v>44715</v>
      </c>
      <c r="C204" s="48">
        <v>-5.99</v>
      </c>
      <c r="F204" t="s">
        <v>351</v>
      </c>
      <c r="G204" s="21">
        <v>44751</v>
      </c>
      <c r="H204" s="48">
        <v>-11.25</v>
      </c>
      <c r="K204" t="s">
        <v>1105</v>
      </c>
      <c r="L204" s="21">
        <v>45149</v>
      </c>
      <c r="M204" s="48">
        <v>-5.99</v>
      </c>
      <c r="P204" t="s">
        <v>1105</v>
      </c>
      <c r="Q204" s="21">
        <v>45187</v>
      </c>
      <c r="R204" s="48">
        <v>-5.99</v>
      </c>
      <c r="U204" t="s">
        <v>1105</v>
      </c>
      <c r="V204" s="21">
        <v>45209</v>
      </c>
      <c r="W204" s="48">
        <v>-5.26</v>
      </c>
      <c r="Z204" t="s">
        <v>1105</v>
      </c>
      <c r="AA204" s="21">
        <v>45236</v>
      </c>
      <c r="AB204" s="48">
        <v>-5.99</v>
      </c>
      <c r="AE204" t="s">
        <v>1105</v>
      </c>
      <c r="AF204" s="21">
        <v>45271</v>
      </c>
      <c r="AG204" s="48">
        <v>-5.99</v>
      </c>
      <c r="AJ204" t="s">
        <v>351</v>
      </c>
      <c r="AK204" s="21">
        <v>45301</v>
      </c>
      <c r="AL204" s="48">
        <v>-2.94</v>
      </c>
      <c r="AO204" t="s">
        <v>1411</v>
      </c>
      <c r="AP204" s="21">
        <v>45331</v>
      </c>
      <c r="AQ204" s="48">
        <v>-7.04</v>
      </c>
      <c r="AT204" t="s">
        <v>351</v>
      </c>
      <c r="AU204" s="21">
        <v>45358</v>
      </c>
      <c r="AV204" s="48">
        <v>-25.31</v>
      </c>
      <c r="AY204" t="s">
        <v>351</v>
      </c>
      <c r="AZ204" s="21">
        <v>45386</v>
      </c>
      <c r="BA204" s="48">
        <v>-11.46</v>
      </c>
      <c r="BD204" s="38" t="s">
        <v>351</v>
      </c>
      <c r="BE204" s="21">
        <v>45424</v>
      </c>
      <c r="BF204" s="48">
        <v>-14.72</v>
      </c>
    </row>
    <row r="205" spans="1:59" x14ac:dyDescent="0.35">
      <c r="A205" t="s">
        <v>351</v>
      </c>
      <c r="B205" s="21">
        <v>44719</v>
      </c>
      <c r="C205" s="48">
        <v>-9.56</v>
      </c>
      <c r="F205" t="s">
        <v>351</v>
      </c>
      <c r="G205" s="21">
        <v>44755</v>
      </c>
      <c r="H205" s="48">
        <v>-5.99</v>
      </c>
      <c r="K205" t="s">
        <v>1105</v>
      </c>
      <c r="L205" s="21">
        <v>45149</v>
      </c>
      <c r="M205" s="48">
        <v>-10.58</v>
      </c>
      <c r="P205" t="s">
        <v>1105</v>
      </c>
      <c r="Q205" s="21">
        <v>45190</v>
      </c>
      <c r="R205" s="48">
        <v>-28.25</v>
      </c>
      <c r="U205" t="s">
        <v>1105</v>
      </c>
      <c r="V205" s="21">
        <v>45210</v>
      </c>
      <c r="W205" s="48">
        <v>-2.94</v>
      </c>
      <c r="Z205" t="s">
        <v>1105</v>
      </c>
      <c r="AA205" s="21">
        <v>45237</v>
      </c>
      <c r="AB205" s="48">
        <v>-2.94</v>
      </c>
      <c r="AE205" t="s">
        <v>1105</v>
      </c>
      <c r="AF205" s="21">
        <v>45272</v>
      </c>
      <c r="AG205" s="48">
        <v>-4.43</v>
      </c>
      <c r="AJ205" t="s">
        <v>351</v>
      </c>
      <c r="AK205" s="21">
        <v>45304</v>
      </c>
      <c r="AL205" s="48">
        <v>-5.99</v>
      </c>
      <c r="AO205" t="s">
        <v>1402</v>
      </c>
      <c r="AP205" s="21">
        <v>45334</v>
      </c>
      <c r="AQ205" s="48">
        <v>-4.84</v>
      </c>
      <c r="AT205" t="s">
        <v>351</v>
      </c>
      <c r="AU205" s="21">
        <v>45362</v>
      </c>
      <c r="AV205" s="48">
        <v>-9.23</v>
      </c>
      <c r="AY205" t="s">
        <v>351</v>
      </c>
      <c r="AZ205" s="21">
        <v>45387</v>
      </c>
      <c r="BA205" s="48">
        <v>-6.29</v>
      </c>
      <c r="BD205" s="38" t="s">
        <v>351</v>
      </c>
      <c r="BE205" s="21">
        <v>45426</v>
      </c>
      <c r="BF205" s="48">
        <v>-10.199999999999999</v>
      </c>
    </row>
    <row r="206" spans="1:59" x14ac:dyDescent="0.35">
      <c r="A206" t="s">
        <v>351</v>
      </c>
      <c r="B206" s="21">
        <v>44720</v>
      </c>
      <c r="C206" s="48">
        <v>-11.25</v>
      </c>
      <c r="F206" t="s">
        <v>351</v>
      </c>
      <c r="G206" s="21">
        <v>44755</v>
      </c>
      <c r="H206" s="48">
        <v>-31.63</v>
      </c>
      <c r="K206" t="s">
        <v>1105</v>
      </c>
      <c r="L206" s="21">
        <v>45149</v>
      </c>
      <c r="M206" s="48">
        <v>-8.43</v>
      </c>
      <c r="P206" t="s">
        <v>1105</v>
      </c>
      <c r="Q206" s="21">
        <v>45195</v>
      </c>
      <c r="R206" s="48">
        <v>-2.94</v>
      </c>
      <c r="U206" t="s">
        <v>1105</v>
      </c>
      <c r="V206" s="21">
        <v>45211</v>
      </c>
      <c r="W206" s="48">
        <v>-9.8800000000000008</v>
      </c>
      <c r="Z206" t="s">
        <v>1105</v>
      </c>
      <c r="AA206" s="21">
        <v>45242</v>
      </c>
      <c r="AB206" s="48">
        <v>-5.89</v>
      </c>
      <c r="AE206" t="s">
        <v>1105</v>
      </c>
      <c r="AF206" s="21">
        <v>45273</v>
      </c>
      <c r="AG206" s="48">
        <v>-5.99</v>
      </c>
      <c r="AJ206" t="s">
        <v>351</v>
      </c>
      <c r="AK206" s="21">
        <v>45311</v>
      </c>
      <c r="AL206" s="48">
        <v>-2.94</v>
      </c>
      <c r="AO206" t="s">
        <v>351</v>
      </c>
      <c r="AP206" s="21">
        <v>45342</v>
      </c>
      <c r="AQ206" s="48">
        <v>-4.93</v>
      </c>
      <c r="AT206" t="s">
        <v>351</v>
      </c>
      <c r="AU206" s="21">
        <v>45370</v>
      </c>
      <c r="AV206" s="48">
        <v>-32.5</v>
      </c>
      <c r="AY206" t="s">
        <v>351</v>
      </c>
      <c r="AZ206" s="21">
        <v>45390</v>
      </c>
      <c r="BA206" s="48">
        <v>-7.47</v>
      </c>
      <c r="BD206" s="38" t="s">
        <v>351</v>
      </c>
      <c r="BE206" s="21">
        <v>45427</v>
      </c>
      <c r="BF206" s="48">
        <v>-2.73</v>
      </c>
    </row>
    <row r="207" spans="1:59" x14ac:dyDescent="0.35">
      <c r="A207" t="s">
        <v>351</v>
      </c>
      <c r="B207" s="21">
        <v>44721</v>
      </c>
      <c r="C207" s="48">
        <v>-5.26</v>
      </c>
      <c r="F207" t="s">
        <v>351</v>
      </c>
      <c r="G207" s="21">
        <v>44756</v>
      </c>
      <c r="H207" s="48">
        <v>-4.7300000000000004</v>
      </c>
      <c r="K207" t="s">
        <v>1105</v>
      </c>
      <c r="L207" s="21">
        <v>45151</v>
      </c>
      <c r="M207" s="48">
        <v>-5.99</v>
      </c>
      <c r="P207" t="s">
        <v>1105</v>
      </c>
      <c r="Q207" s="21">
        <v>45196</v>
      </c>
      <c r="R207" s="48">
        <v>-8.93</v>
      </c>
      <c r="U207" t="s">
        <v>1105</v>
      </c>
      <c r="V207" s="21">
        <v>45213</v>
      </c>
      <c r="W207" s="48">
        <v>-3.47</v>
      </c>
      <c r="Z207" t="s">
        <v>1105</v>
      </c>
      <c r="AA207" s="21">
        <v>45253</v>
      </c>
      <c r="AB207" s="48">
        <v>-2.94</v>
      </c>
      <c r="AE207" t="s">
        <v>1105</v>
      </c>
      <c r="AF207" s="21">
        <v>45274</v>
      </c>
      <c r="AG207" s="48">
        <v>-10.72</v>
      </c>
      <c r="AJ207" t="s">
        <v>351</v>
      </c>
      <c r="AK207" s="21">
        <v>45313</v>
      </c>
      <c r="AL207" s="48">
        <v>-8.93</v>
      </c>
      <c r="AO207" t="s">
        <v>351</v>
      </c>
      <c r="AP207" s="21">
        <v>45342</v>
      </c>
      <c r="AQ207" s="48">
        <v>-6.29</v>
      </c>
      <c r="AT207" t="s">
        <v>351</v>
      </c>
      <c r="AU207" s="21">
        <v>45372</v>
      </c>
      <c r="AV207" s="48">
        <v>-6.29</v>
      </c>
      <c r="AY207" t="s">
        <v>351</v>
      </c>
      <c r="AZ207" s="21">
        <v>45398</v>
      </c>
      <c r="BA207" s="48">
        <v>-4.7300000000000004</v>
      </c>
      <c r="BD207" s="38" t="s">
        <v>351</v>
      </c>
      <c r="BE207" s="21">
        <v>45428</v>
      </c>
      <c r="BF207" s="48">
        <v>-4.7300000000000004</v>
      </c>
    </row>
    <row r="208" spans="1:59" x14ac:dyDescent="0.35">
      <c r="A208" t="s">
        <v>351</v>
      </c>
      <c r="B208" s="21">
        <v>44724</v>
      </c>
      <c r="C208" s="48">
        <v>-28.47</v>
      </c>
      <c r="F208" t="s">
        <v>351</v>
      </c>
      <c r="G208" s="21">
        <v>44760</v>
      </c>
      <c r="H208" s="48">
        <v>-11.25</v>
      </c>
      <c r="K208" t="s">
        <v>1105</v>
      </c>
      <c r="L208" s="21">
        <v>45155</v>
      </c>
      <c r="M208" s="48">
        <v>-5.99</v>
      </c>
      <c r="P208" t="s">
        <v>1105</v>
      </c>
      <c r="Q208" s="21">
        <v>45197</v>
      </c>
      <c r="R208" s="48">
        <v>-5.26</v>
      </c>
      <c r="U208" t="s">
        <v>1105</v>
      </c>
      <c r="V208" s="21">
        <v>45215</v>
      </c>
      <c r="W208" s="48">
        <v>-8.93</v>
      </c>
      <c r="Z208" t="s">
        <v>1105</v>
      </c>
      <c r="AA208" s="21">
        <v>45257</v>
      </c>
      <c r="AB208" s="48">
        <v>-8.93</v>
      </c>
      <c r="AE208" t="s">
        <v>1105</v>
      </c>
      <c r="AF208" s="21">
        <v>45276</v>
      </c>
      <c r="AG208" s="48">
        <v>-2.94</v>
      </c>
      <c r="AJ208" t="s">
        <v>351</v>
      </c>
      <c r="AK208" s="21">
        <v>45319</v>
      </c>
      <c r="AL208" s="48">
        <v>-11.59</v>
      </c>
      <c r="AP208" s="21"/>
      <c r="AQ208" s="48"/>
      <c r="AT208" t="s">
        <v>351</v>
      </c>
      <c r="AU208" s="21">
        <v>45373</v>
      </c>
      <c r="AV208" s="48">
        <v>-9.23</v>
      </c>
      <c r="AY208" t="s">
        <v>351</v>
      </c>
      <c r="AZ208" s="21">
        <v>45399</v>
      </c>
      <c r="BA208" s="48">
        <v>-9.35</v>
      </c>
      <c r="BD208" s="38" t="s">
        <v>351</v>
      </c>
      <c r="BE208" s="21">
        <v>45433</v>
      </c>
      <c r="BF208" s="48">
        <v>-9.89</v>
      </c>
    </row>
    <row r="209" spans="1:62" ht="15" thickBot="1" x14ac:dyDescent="0.4">
      <c r="A209" t="s">
        <v>351</v>
      </c>
      <c r="B209" s="21">
        <v>44724</v>
      </c>
      <c r="C209" s="48">
        <v>-26.36</v>
      </c>
      <c r="F209" t="s">
        <v>351</v>
      </c>
      <c r="G209" s="21">
        <v>44761</v>
      </c>
      <c r="H209" s="48">
        <v>-5.99</v>
      </c>
      <c r="K209" t="s">
        <v>1105</v>
      </c>
      <c r="L209" s="21">
        <v>45158</v>
      </c>
      <c r="M209" s="48">
        <v>-5.99</v>
      </c>
      <c r="P209" t="s">
        <v>1105</v>
      </c>
      <c r="Q209" s="21">
        <v>45198</v>
      </c>
      <c r="R209" s="48">
        <v>-2.94</v>
      </c>
      <c r="U209" t="s">
        <v>1105</v>
      </c>
      <c r="V209" s="21">
        <v>45216</v>
      </c>
      <c r="W209" s="48">
        <v>-4.83</v>
      </c>
      <c r="AA209" s="21"/>
      <c r="AB209" s="48"/>
      <c r="AE209" t="s">
        <v>1105</v>
      </c>
      <c r="AF209" s="21">
        <v>45279</v>
      </c>
      <c r="AG209" s="48">
        <v>-12.76</v>
      </c>
      <c r="AJ209" t="s">
        <v>351</v>
      </c>
      <c r="AK209" s="21">
        <v>45319</v>
      </c>
      <c r="AL209" s="48">
        <v>-8.93</v>
      </c>
      <c r="AP209" s="21"/>
      <c r="AQ209" s="49"/>
      <c r="AT209" t="s">
        <v>351</v>
      </c>
      <c r="AU209" s="21">
        <v>45375</v>
      </c>
      <c r="AV209" s="48">
        <v>-9.23</v>
      </c>
      <c r="AY209" t="s">
        <v>351</v>
      </c>
      <c r="AZ209" s="21">
        <v>45400</v>
      </c>
      <c r="BA209" s="48">
        <v>-4.21</v>
      </c>
      <c r="BD209" s="38" t="s">
        <v>351</v>
      </c>
      <c r="BE209" s="21">
        <v>45435</v>
      </c>
      <c r="BF209" s="48">
        <v>-16.3</v>
      </c>
    </row>
    <row r="210" spans="1:62" ht="15" thickBot="1" x14ac:dyDescent="0.4">
      <c r="A210" t="s">
        <v>351</v>
      </c>
      <c r="B210" s="21">
        <v>44725</v>
      </c>
      <c r="C210" s="48">
        <v>-13.57</v>
      </c>
      <c r="F210" t="s">
        <v>351</v>
      </c>
      <c r="G210" s="21">
        <v>44767</v>
      </c>
      <c r="H210" s="48">
        <v>-14.3</v>
      </c>
      <c r="K210" t="s">
        <v>1105</v>
      </c>
      <c r="L210" s="21">
        <v>45159</v>
      </c>
      <c r="M210" s="48">
        <v>-3.37</v>
      </c>
      <c r="P210" t="s">
        <v>1105</v>
      </c>
      <c r="Q210" s="21">
        <v>45198</v>
      </c>
      <c r="R210" s="48">
        <v>-2.94</v>
      </c>
      <c r="U210" t="s">
        <v>1174</v>
      </c>
      <c r="V210" s="21">
        <v>45216</v>
      </c>
      <c r="W210" s="48">
        <v>-1.99</v>
      </c>
      <c r="AA210" s="21"/>
      <c r="AB210" s="49"/>
      <c r="AE210" t="s">
        <v>1105</v>
      </c>
      <c r="AF210" s="21">
        <v>45281</v>
      </c>
      <c r="AG210" s="48">
        <v>-4.78</v>
      </c>
      <c r="AJ210" t="s">
        <v>351</v>
      </c>
      <c r="AK210" s="21">
        <v>45321</v>
      </c>
      <c r="AL210" s="48">
        <v>-5.99</v>
      </c>
      <c r="AQ210" s="48">
        <f>SUM(AQ201:AQ209)</f>
        <v>-42.63</v>
      </c>
      <c r="AT210" t="s">
        <v>351</v>
      </c>
      <c r="AU210" s="21">
        <v>45376</v>
      </c>
      <c r="AV210" s="48">
        <v>-9.23</v>
      </c>
      <c r="AY210" t="s">
        <v>351</v>
      </c>
      <c r="AZ210" s="21">
        <v>45404</v>
      </c>
      <c r="BA210" s="48">
        <v>-7.47</v>
      </c>
      <c r="BD210" s="38" t="s">
        <v>351</v>
      </c>
      <c r="BE210" s="21">
        <v>45435</v>
      </c>
      <c r="BF210" s="48">
        <v>-12.64</v>
      </c>
    </row>
    <row r="211" spans="1:62" ht="15" thickBot="1" x14ac:dyDescent="0.4">
      <c r="A211" t="s">
        <v>351</v>
      </c>
      <c r="B211" s="21">
        <v>44726</v>
      </c>
      <c r="C211" s="48">
        <v>-11.96</v>
      </c>
      <c r="F211" t="s">
        <v>351</v>
      </c>
      <c r="G211" s="21">
        <v>44769</v>
      </c>
      <c r="H211" s="48">
        <v>-14.84</v>
      </c>
      <c r="K211" t="s">
        <v>1105</v>
      </c>
      <c r="L211" s="21">
        <v>45164</v>
      </c>
      <c r="M211" s="48">
        <v>-2.58</v>
      </c>
      <c r="P211" t="s">
        <v>1105</v>
      </c>
      <c r="Q211" s="21" t="s">
        <v>1170</v>
      </c>
      <c r="R211" s="48">
        <v>-4.7300000000000004</v>
      </c>
      <c r="U211" t="s">
        <v>1105</v>
      </c>
      <c r="V211" s="21">
        <v>45218</v>
      </c>
      <c r="W211" s="48">
        <v>-2.94</v>
      </c>
      <c r="AA211" s="2"/>
      <c r="AB211" s="48">
        <f>SUM(AB200:AB210)</f>
        <v>-43.290000000000006</v>
      </c>
      <c r="AE211" t="s">
        <v>1105</v>
      </c>
      <c r="AF211" s="21">
        <v>45281</v>
      </c>
      <c r="AG211" s="48">
        <v>-5.99</v>
      </c>
      <c r="AJ211" t="s">
        <v>351</v>
      </c>
      <c r="AK211" s="21">
        <v>45322</v>
      </c>
      <c r="AL211" s="48">
        <v>-8.93</v>
      </c>
      <c r="AT211" t="s">
        <v>351</v>
      </c>
      <c r="AU211" s="21">
        <v>45376</v>
      </c>
      <c r="AV211" s="48">
        <v>-9.89</v>
      </c>
      <c r="AY211" t="s">
        <v>351</v>
      </c>
      <c r="AZ211" s="21">
        <v>45411</v>
      </c>
      <c r="BA211" s="48">
        <v>-2.73</v>
      </c>
      <c r="BD211" s="38" t="s">
        <v>351</v>
      </c>
      <c r="BE211" s="21">
        <v>45439</v>
      </c>
      <c r="BF211" s="48">
        <v>-9.02</v>
      </c>
    </row>
    <row r="212" spans="1:62" x14ac:dyDescent="0.35">
      <c r="A212" t="s">
        <v>351</v>
      </c>
      <c r="B212" s="21">
        <v>44728</v>
      </c>
      <c r="C212" s="48">
        <v>-5.99</v>
      </c>
      <c r="F212" t="s">
        <v>351</v>
      </c>
      <c r="G212" s="21">
        <v>44770</v>
      </c>
      <c r="H212" s="48">
        <v>-5.26</v>
      </c>
      <c r="K212" t="s">
        <v>1105</v>
      </c>
      <c r="L212" s="21">
        <v>45166</v>
      </c>
      <c r="M212" s="48">
        <v>-5.99</v>
      </c>
      <c r="Q212" s="2"/>
      <c r="R212" s="55">
        <f>SUM(R199:R211)</f>
        <v>-120.97999999999999</v>
      </c>
      <c r="U212" t="s">
        <v>1105</v>
      </c>
      <c r="V212" s="21">
        <v>45220</v>
      </c>
      <c r="W212" s="48">
        <v>-5.26</v>
      </c>
      <c r="AE212" t="s">
        <v>1105</v>
      </c>
      <c r="AF212" s="21">
        <v>45284</v>
      </c>
      <c r="AG212" s="48">
        <v>-4.83</v>
      </c>
      <c r="AL212" s="55">
        <f>SUM(AL201:AL211)</f>
        <v>-86.07</v>
      </c>
      <c r="AT212" t="s">
        <v>351</v>
      </c>
      <c r="AU212" s="21">
        <v>45379</v>
      </c>
      <c r="AV212" s="48">
        <v>-11.46</v>
      </c>
      <c r="AY212" t="s">
        <v>351</v>
      </c>
      <c r="AZ212" s="21">
        <v>45411</v>
      </c>
      <c r="BA212" s="48">
        <v>-9.89</v>
      </c>
      <c r="BD212" s="38" t="s">
        <v>351</v>
      </c>
      <c r="BE212" s="21">
        <v>45440</v>
      </c>
      <c r="BF212" s="48">
        <v>-10.1</v>
      </c>
    </row>
    <row r="213" spans="1:62" ht="15" thickBot="1" x14ac:dyDescent="0.4">
      <c r="A213" t="s">
        <v>351</v>
      </c>
      <c r="B213" s="21">
        <v>44732</v>
      </c>
      <c r="C213" s="48">
        <v>-2.83</v>
      </c>
      <c r="F213" t="s">
        <v>351</v>
      </c>
      <c r="G213" s="21">
        <v>44771</v>
      </c>
      <c r="H213" s="48">
        <v>-8.92</v>
      </c>
      <c r="K213" t="s">
        <v>1105</v>
      </c>
      <c r="L213" s="21">
        <v>45168</v>
      </c>
      <c r="M213" s="48">
        <v>-5.26</v>
      </c>
      <c r="U213" t="s">
        <v>1105</v>
      </c>
      <c r="V213" s="21">
        <v>45223</v>
      </c>
      <c r="W213" s="48">
        <v>-5.99</v>
      </c>
      <c r="AE213" t="s">
        <v>1105</v>
      </c>
      <c r="AF213" s="21">
        <v>45287</v>
      </c>
      <c r="AG213" s="48">
        <v>-10.92</v>
      </c>
      <c r="AO213" s="50" t="s">
        <v>328</v>
      </c>
      <c r="AP213" s="51" t="s">
        <v>340</v>
      </c>
      <c r="AQ213" s="51" t="s">
        <v>342</v>
      </c>
      <c r="AR213" s="51" t="s">
        <v>343</v>
      </c>
      <c r="AT213" t="s">
        <v>351</v>
      </c>
      <c r="AU213" s="21">
        <v>45380</v>
      </c>
      <c r="AV213" s="48">
        <v>-6.29</v>
      </c>
      <c r="AY213" t="s">
        <v>351</v>
      </c>
      <c r="AZ213" s="21">
        <v>45412</v>
      </c>
      <c r="BA213" s="48">
        <v>-7.37</v>
      </c>
      <c r="BD213" s="38" t="s">
        <v>351</v>
      </c>
      <c r="BE213" s="21">
        <v>45441</v>
      </c>
      <c r="BF213" s="48">
        <v>-4.75</v>
      </c>
    </row>
    <row r="214" spans="1:62" ht="15" thickBot="1" x14ac:dyDescent="0.4">
      <c r="A214" t="s">
        <v>351</v>
      </c>
      <c r="B214" s="21">
        <v>44735</v>
      </c>
      <c r="C214" s="48">
        <v>-11.25</v>
      </c>
      <c r="G214" s="2"/>
      <c r="H214" s="55">
        <f>SUM(H200:H213)</f>
        <v>-150.23999999999998</v>
      </c>
      <c r="K214" t="s">
        <v>1105</v>
      </c>
      <c r="L214" s="21">
        <v>45168</v>
      </c>
      <c r="M214" s="48">
        <v>-5.99</v>
      </c>
      <c r="U214" t="s">
        <v>1105</v>
      </c>
      <c r="V214" s="21">
        <v>45224</v>
      </c>
      <c r="W214" s="48">
        <v>-7.77</v>
      </c>
      <c r="Z214" s="50" t="s">
        <v>328</v>
      </c>
      <c r="AA214" s="51" t="s">
        <v>340</v>
      </c>
      <c r="AB214" s="51" t="s">
        <v>342</v>
      </c>
      <c r="AC214" s="51" t="s">
        <v>343</v>
      </c>
      <c r="AE214" t="s">
        <v>1105</v>
      </c>
      <c r="AF214" s="21">
        <v>45290</v>
      </c>
      <c r="AG214" s="48">
        <v>-5.68</v>
      </c>
      <c r="AO214" t="s">
        <v>352</v>
      </c>
      <c r="AP214" s="21">
        <v>45323</v>
      </c>
      <c r="AQ214" s="48">
        <v>-11.54</v>
      </c>
      <c r="AU214" s="21"/>
      <c r="AV214" s="48"/>
      <c r="AZ214" s="21"/>
      <c r="BA214" s="49"/>
      <c r="BD214" s="38" t="s">
        <v>351</v>
      </c>
      <c r="BE214" s="21">
        <v>45441</v>
      </c>
      <c r="BF214" s="48">
        <v>-6.62</v>
      </c>
    </row>
    <row r="215" spans="1:62" ht="15" thickBot="1" x14ac:dyDescent="0.4">
      <c r="B215" s="2"/>
      <c r="C215" s="55">
        <f>SUM(C201:C214)</f>
        <v>-186.31000000000003</v>
      </c>
      <c r="L215" s="2"/>
      <c r="M215" s="55">
        <f>SUM(M200:M214)</f>
        <v>-97.47999999999999</v>
      </c>
      <c r="P215" s="50" t="s">
        <v>328</v>
      </c>
      <c r="Q215" s="51" t="s">
        <v>340</v>
      </c>
      <c r="R215" s="51" t="s">
        <v>342</v>
      </c>
      <c r="S215" s="51" t="s">
        <v>343</v>
      </c>
      <c r="U215" t="s">
        <v>1105</v>
      </c>
      <c r="V215" s="21">
        <v>45226</v>
      </c>
      <c r="W215" s="48">
        <v>-5.26</v>
      </c>
      <c r="Z215" t="s">
        <v>1167</v>
      </c>
      <c r="AA215" s="21">
        <v>45235</v>
      </c>
      <c r="AB215" s="48">
        <v>-21.11</v>
      </c>
      <c r="AC215" s="150"/>
      <c r="AG215" s="55">
        <f>SUM(AG201:AG214)</f>
        <v>-94.47999999999999</v>
      </c>
      <c r="AJ215" s="50" t="s">
        <v>328</v>
      </c>
      <c r="AK215" s="51" t="s">
        <v>340</v>
      </c>
      <c r="AL215" s="51" t="s">
        <v>342</v>
      </c>
      <c r="AM215" s="51" t="s">
        <v>343</v>
      </c>
      <c r="AO215" t="s">
        <v>1394</v>
      </c>
      <c r="AP215" s="21">
        <v>45324</v>
      </c>
      <c r="AQ215" s="48">
        <v>-6.57</v>
      </c>
      <c r="AU215" s="21"/>
      <c r="AV215" s="49"/>
      <c r="AZ215" s="2"/>
      <c r="BA215" s="48">
        <f>SUM(BA201:BA214)</f>
        <v>-86.280000000000015</v>
      </c>
      <c r="BD215" s="38" t="s">
        <v>351</v>
      </c>
      <c r="BE215" s="21">
        <v>45442</v>
      </c>
      <c r="BF215" s="48">
        <v>-5.28</v>
      </c>
    </row>
    <row r="216" spans="1:62" ht="15" thickBot="1" x14ac:dyDescent="0.4">
      <c r="P216" t="s">
        <v>1167</v>
      </c>
      <c r="Q216" s="21">
        <v>45175</v>
      </c>
      <c r="R216" s="48">
        <v>-12.99</v>
      </c>
      <c r="U216" t="s">
        <v>1105</v>
      </c>
      <c r="V216" s="21">
        <v>45230</v>
      </c>
      <c r="W216" s="48">
        <v>-8.93</v>
      </c>
      <c r="Z216" t="s">
        <v>1167</v>
      </c>
      <c r="AA216" s="21">
        <v>45237</v>
      </c>
      <c r="AB216" s="48">
        <v>-23.21</v>
      </c>
      <c r="AC216" s="150"/>
      <c r="AJ216" t="s">
        <v>352</v>
      </c>
      <c r="AK216" s="21">
        <v>45294</v>
      </c>
      <c r="AL216" s="48">
        <v>-20.09</v>
      </c>
      <c r="AO216" t="s">
        <v>1408</v>
      </c>
      <c r="AP216" s="21">
        <v>45330</v>
      </c>
      <c r="AQ216" s="48">
        <v>-27.05</v>
      </c>
      <c r="AU216" s="2"/>
      <c r="AV216" s="48">
        <f>SUM(AV201:AV215)</f>
        <v>-145.67000000000002</v>
      </c>
      <c r="BD216" s="38" t="s">
        <v>351</v>
      </c>
      <c r="BE216" s="21">
        <v>45443</v>
      </c>
      <c r="BF216" s="48">
        <v>-7.47</v>
      </c>
    </row>
    <row r="217" spans="1:62" ht="15" thickBot="1" x14ac:dyDescent="0.4">
      <c r="F217" s="50" t="s">
        <v>328</v>
      </c>
      <c r="G217" s="51" t="s">
        <v>340</v>
      </c>
      <c r="H217" s="51" t="s">
        <v>342</v>
      </c>
      <c r="I217" s="51" t="s">
        <v>343</v>
      </c>
      <c r="P217" t="s">
        <v>1167</v>
      </c>
      <c r="Q217" s="21">
        <v>45176</v>
      </c>
      <c r="R217" s="48">
        <v>-16.649999999999999</v>
      </c>
      <c r="V217" s="2"/>
      <c r="W217" s="55">
        <f>SUM(W200:W216)</f>
        <v>-104.15</v>
      </c>
      <c r="Z217" t="s">
        <v>1167</v>
      </c>
      <c r="AA217" s="21">
        <v>45242</v>
      </c>
      <c r="AB217" s="48">
        <v>-15.01</v>
      </c>
      <c r="AC217" s="150"/>
      <c r="AJ217" t="s">
        <v>352</v>
      </c>
      <c r="AK217" s="21">
        <v>45300</v>
      </c>
      <c r="AL217" s="48">
        <v>-83.05</v>
      </c>
      <c r="AO217" t="s">
        <v>1408</v>
      </c>
      <c r="AP217" s="21">
        <v>45331</v>
      </c>
      <c r="AQ217" s="48">
        <v>-6.97</v>
      </c>
      <c r="BE217" s="21"/>
      <c r="BF217" s="49"/>
    </row>
    <row r="218" spans="1:62" ht="15" thickBot="1" x14ac:dyDescent="0.4">
      <c r="A218" s="50" t="s">
        <v>328</v>
      </c>
      <c r="B218" s="51" t="s">
        <v>340</v>
      </c>
      <c r="C218" s="51" t="s">
        <v>342</v>
      </c>
      <c r="D218" s="51" t="s">
        <v>343</v>
      </c>
      <c r="F218" t="s">
        <v>352</v>
      </c>
      <c r="G218" s="21">
        <v>44756</v>
      </c>
      <c r="H218" s="48">
        <v>-7.86</v>
      </c>
      <c r="K218" s="50" t="s">
        <v>328</v>
      </c>
      <c r="L218" s="51" t="s">
        <v>340</v>
      </c>
      <c r="M218" s="51" t="s">
        <v>342</v>
      </c>
      <c r="N218" s="51" t="s">
        <v>343</v>
      </c>
      <c r="P218" t="s">
        <v>1167</v>
      </c>
      <c r="Q218" s="21">
        <v>45180</v>
      </c>
      <c r="R218" s="48">
        <v>-57.62</v>
      </c>
      <c r="Z218" t="s">
        <v>1167</v>
      </c>
      <c r="AA218" s="21">
        <v>45244</v>
      </c>
      <c r="AB218" s="48">
        <v>-29.76</v>
      </c>
      <c r="AE218" s="50" t="s">
        <v>328</v>
      </c>
      <c r="AF218" s="51" t="s">
        <v>340</v>
      </c>
      <c r="AG218" s="51" t="s">
        <v>342</v>
      </c>
      <c r="AH218" s="51" t="s">
        <v>343</v>
      </c>
      <c r="AJ218" t="s">
        <v>352</v>
      </c>
      <c r="AK218" s="21">
        <v>45307</v>
      </c>
      <c r="AL218" s="48">
        <v>-51.19</v>
      </c>
      <c r="AO218" t="s">
        <v>1415</v>
      </c>
      <c r="AP218" s="21">
        <v>45333</v>
      </c>
      <c r="AQ218" s="48">
        <v>-13</v>
      </c>
      <c r="AY218" s="50" t="s">
        <v>328</v>
      </c>
      <c r="AZ218" s="51" t="s">
        <v>340</v>
      </c>
      <c r="BA218" s="51" t="s">
        <v>342</v>
      </c>
      <c r="BB218" s="51" t="s">
        <v>343</v>
      </c>
      <c r="BE218" s="2"/>
      <c r="BF218" s="48">
        <f>SUM(BF201:BF217)</f>
        <v>-142.24999999999997</v>
      </c>
    </row>
    <row r="219" spans="1:62" x14ac:dyDescent="0.35">
      <c r="A219" t="s">
        <v>534</v>
      </c>
      <c r="B219" s="21">
        <v>45084</v>
      </c>
      <c r="C219" s="48">
        <v>-90.69</v>
      </c>
      <c r="F219" t="s">
        <v>352</v>
      </c>
      <c r="G219" s="21">
        <v>44762</v>
      </c>
      <c r="H219" s="48">
        <v>-38.86</v>
      </c>
      <c r="K219" t="s">
        <v>352</v>
      </c>
      <c r="L219" s="21">
        <v>45152</v>
      </c>
      <c r="M219" s="48">
        <v>-63.8</v>
      </c>
      <c r="P219" t="s">
        <v>1167</v>
      </c>
      <c r="Q219" s="21">
        <v>45182</v>
      </c>
      <c r="R219" s="48">
        <v>-15.97</v>
      </c>
      <c r="Z219" t="s">
        <v>1167</v>
      </c>
      <c r="AA219" s="21">
        <v>45259</v>
      </c>
      <c r="AB219" s="48">
        <v>-19.760000000000002</v>
      </c>
      <c r="AE219" t="s">
        <v>1167</v>
      </c>
      <c r="AF219" s="21">
        <v>45265</v>
      </c>
      <c r="AG219" s="48">
        <v>-20.64</v>
      </c>
      <c r="AL219" s="55">
        <f>SUM(AL216:AL218)</f>
        <v>-154.32999999999998</v>
      </c>
      <c r="AO219" t="s">
        <v>1415</v>
      </c>
      <c r="AP219" s="21">
        <v>45333</v>
      </c>
      <c r="AQ219" s="48">
        <v>-65.39</v>
      </c>
      <c r="AT219" s="50" t="s">
        <v>328</v>
      </c>
      <c r="AU219" s="51" t="s">
        <v>340</v>
      </c>
      <c r="AV219" s="51" t="s">
        <v>342</v>
      </c>
      <c r="AW219" s="51" t="s">
        <v>343</v>
      </c>
      <c r="AY219" t="s">
        <v>1415</v>
      </c>
      <c r="AZ219" s="21">
        <v>45383</v>
      </c>
      <c r="BA219" s="48">
        <v>-13.28</v>
      </c>
    </row>
    <row r="220" spans="1:62" ht="15" thickBot="1" x14ac:dyDescent="0.4">
      <c r="A220" t="s">
        <v>352</v>
      </c>
      <c r="B220" s="21">
        <v>45087</v>
      </c>
      <c r="C220" s="48">
        <v>-36.18</v>
      </c>
      <c r="F220" t="s">
        <v>352</v>
      </c>
      <c r="G220" s="21">
        <v>44768</v>
      </c>
      <c r="H220" s="48">
        <v>-102.66</v>
      </c>
      <c r="I220" t="s">
        <v>1055</v>
      </c>
      <c r="K220" t="s">
        <v>1110</v>
      </c>
      <c r="L220" s="21">
        <v>45159</v>
      </c>
      <c r="M220" s="48">
        <v>-14</v>
      </c>
      <c r="P220" t="s">
        <v>1167</v>
      </c>
      <c r="Q220" s="21">
        <v>45183</v>
      </c>
      <c r="R220" s="48">
        <v>-21.54</v>
      </c>
      <c r="U220" s="50" t="s">
        <v>328</v>
      </c>
      <c r="V220" s="51" t="s">
        <v>340</v>
      </c>
      <c r="W220" s="51" t="s">
        <v>342</v>
      </c>
      <c r="X220" s="51" t="s">
        <v>343</v>
      </c>
      <c r="AA220" s="21"/>
      <c r="AB220" s="49"/>
      <c r="AE220" t="s">
        <v>1167</v>
      </c>
      <c r="AF220" s="21">
        <v>45267</v>
      </c>
      <c r="AG220" s="48">
        <v>-15.42</v>
      </c>
      <c r="AO220" t="s">
        <v>352</v>
      </c>
      <c r="AP220" s="21">
        <v>45335</v>
      </c>
      <c r="AQ220" s="48">
        <v>-72.3</v>
      </c>
      <c r="AT220" t="s">
        <v>352</v>
      </c>
      <c r="AU220" s="21">
        <v>45364</v>
      </c>
      <c r="AV220" s="48">
        <v>-15.99</v>
      </c>
      <c r="AY220" t="s">
        <v>1415</v>
      </c>
      <c r="AZ220" s="21">
        <v>45384</v>
      </c>
      <c r="BA220" s="48">
        <v>-20</v>
      </c>
    </row>
    <row r="221" spans="1:62" ht="15" thickBot="1" x14ac:dyDescent="0.4">
      <c r="A221" t="s">
        <v>1019</v>
      </c>
      <c r="B221" s="21">
        <v>45093</v>
      </c>
      <c r="C221" s="48">
        <v>-33.729999999999997</v>
      </c>
      <c r="G221" s="2"/>
      <c r="H221" s="55">
        <f>SUM(H218:H220)</f>
        <v>-149.38</v>
      </c>
      <c r="K221" t="s">
        <v>352</v>
      </c>
      <c r="L221" s="21">
        <v>45159</v>
      </c>
      <c r="M221" s="48">
        <v>-19.3</v>
      </c>
      <c r="P221" t="s">
        <v>1167</v>
      </c>
      <c r="Q221" s="21">
        <v>45197</v>
      </c>
      <c r="R221" s="48">
        <v>-14.09</v>
      </c>
      <c r="U221" t="s">
        <v>1167</v>
      </c>
      <c r="V221" s="21">
        <v>45174</v>
      </c>
      <c r="W221" s="48">
        <v>-15.97</v>
      </c>
      <c r="AA221" s="2"/>
      <c r="AB221" s="48">
        <f>SUM(AB218:AB220)</f>
        <v>-49.52</v>
      </c>
      <c r="AE221" t="s">
        <v>1167</v>
      </c>
      <c r="AF221" s="21">
        <v>45276</v>
      </c>
      <c r="AG221" s="48">
        <v>-22.64</v>
      </c>
      <c r="AO221" t="s">
        <v>352</v>
      </c>
      <c r="AP221" s="21">
        <v>45340</v>
      </c>
      <c r="AQ221" s="48">
        <v>-27.26</v>
      </c>
      <c r="AT221" t="s">
        <v>352</v>
      </c>
      <c r="AU221" s="21">
        <v>45365</v>
      </c>
      <c r="AV221" s="48">
        <v>-12.13</v>
      </c>
      <c r="AY221" t="s">
        <v>352</v>
      </c>
      <c r="AZ221" s="21">
        <v>45392</v>
      </c>
      <c r="BA221" s="48">
        <v>-27.43</v>
      </c>
      <c r="BD221" s="157" t="s">
        <v>328</v>
      </c>
      <c r="BE221" s="51" t="s">
        <v>340</v>
      </c>
      <c r="BF221" s="51" t="s">
        <v>342</v>
      </c>
      <c r="BG221" s="51" t="s">
        <v>343</v>
      </c>
    </row>
    <row r="222" spans="1:62" x14ac:dyDescent="0.35">
      <c r="A222" t="s">
        <v>352</v>
      </c>
      <c r="B222" s="21">
        <v>45094</v>
      </c>
      <c r="C222" s="48">
        <v>-7.96</v>
      </c>
      <c r="K222" t="s">
        <v>1112</v>
      </c>
      <c r="L222" s="21">
        <v>45159</v>
      </c>
      <c r="M222" s="48">
        <v>-6.98</v>
      </c>
      <c r="N222" t="s">
        <v>560</v>
      </c>
      <c r="Q222" s="2"/>
      <c r="R222" s="55">
        <f>SUM(R216:R221)</f>
        <v>-138.85999999999999</v>
      </c>
      <c r="U222" t="s">
        <v>1167</v>
      </c>
      <c r="V222" s="21">
        <v>45186</v>
      </c>
      <c r="W222" s="48">
        <v>-37.090000000000003</v>
      </c>
      <c r="AE222" t="s">
        <v>1167</v>
      </c>
      <c r="AF222" s="21">
        <v>45284</v>
      </c>
      <c r="AG222" s="48">
        <v>-87.33</v>
      </c>
      <c r="AJ222" s="50" t="s">
        <v>369</v>
      </c>
      <c r="AK222" s="51" t="s">
        <v>340</v>
      </c>
      <c r="AL222" s="51" t="s">
        <v>342</v>
      </c>
      <c r="AM222" s="51" t="s">
        <v>343</v>
      </c>
      <c r="AO222" t="s">
        <v>352</v>
      </c>
      <c r="AP222" s="21">
        <v>45340</v>
      </c>
      <c r="AQ222" s="48">
        <v>-16.829999999999998</v>
      </c>
      <c r="AU222" s="21"/>
      <c r="AV222" s="48"/>
      <c r="AY222" t="s">
        <v>352</v>
      </c>
      <c r="AZ222" s="21">
        <v>45394</v>
      </c>
      <c r="BA222" s="48">
        <v>-16.149999999999999</v>
      </c>
      <c r="BD222" s="38" t="s">
        <v>352</v>
      </c>
      <c r="BE222" s="21">
        <v>45413</v>
      </c>
      <c r="BF222" s="48">
        <v>-22.92</v>
      </c>
      <c r="BI222" s="21"/>
      <c r="BJ222" s="48"/>
    </row>
    <row r="223" spans="1:62" x14ac:dyDescent="0.35">
      <c r="A223" t="s">
        <v>352</v>
      </c>
      <c r="B223" s="21">
        <v>45097</v>
      </c>
      <c r="C223" s="48">
        <v>-55.26</v>
      </c>
      <c r="K223" t="s">
        <v>1113</v>
      </c>
      <c r="L223" s="21">
        <v>45160</v>
      </c>
      <c r="M223" s="48">
        <v>-18.16</v>
      </c>
      <c r="N223" t="s">
        <v>560</v>
      </c>
      <c r="U223" t="s">
        <v>1167</v>
      </c>
      <c r="V223" s="21">
        <v>45188</v>
      </c>
      <c r="W223" s="48">
        <v>-11.39</v>
      </c>
      <c r="AE223" t="s">
        <v>467</v>
      </c>
      <c r="AF223" s="21">
        <v>45284</v>
      </c>
      <c r="AG223" s="48">
        <v>-30</v>
      </c>
      <c r="AJ223" t="s">
        <v>570</v>
      </c>
      <c r="AK223" s="21">
        <v>45292</v>
      </c>
      <c r="AL223" s="48">
        <v>-22</v>
      </c>
      <c r="AO223" t="s">
        <v>352</v>
      </c>
      <c r="AP223" s="21">
        <v>45343</v>
      </c>
      <c r="AQ223" s="48">
        <v>-9.24</v>
      </c>
      <c r="AU223" s="21"/>
      <c r="AV223" s="48"/>
      <c r="AY223" t="s">
        <v>352</v>
      </c>
      <c r="AZ223" s="21">
        <v>45398</v>
      </c>
      <c r="BA223" s="48">
        <v>-38.049999999999997</v>
      </c>
      <c r="BD223" s="38" t="s">
        <v>352</v>
      </c>
      <c r="BE223" s="21">
        <v>45425</v>
      </c>
      <c r="BF223" s="48">
        <v>-38.520000000000003</v>
      </c>
    </row>
    <row r="224" spans="1:62" ht="15" thickBot="1" x14ac:dyDescent="0.4">
      <c r="A224" t="s">
        <v>352</v>
      </c>
      <c r="B224" s="21">
        <v>45107</v>
      </c>
      <c r="C224" s="48">
        <v>-72.75</v>
      </c>
      <c r="F224" s="50" t="s">
        <v>369</v>
      </c>
      <c r="G224" s="51" t="s">
        <v>340</v>
      </c>
      <c r="H224" s="51" t="s">
        <v>342</v>
      </c>
      <c r="I224" s="51" t="s">
        <v>343</v>
      </c>
      <c r="K224" t="s">
        <v>1112</v>
      </c>
      <c r="L224" s="21">
        <v>45161</v>
      </c>
      <c r="M224" s="48">
        <v>-12.87</v>
      </c>
      <c r="N224" t="s">
        <v>560</v>
      </c>
      <c r="U224" t="s">
        <v>1167</v>
      </c>
      <c r="V224" s="21">
        <v>45189</v>
      </c>
      <c r="W224" s="48">
        <v>-19.95</v>
      </c>
      <c r="Z224" s="50" t="s">
        <v>369</v>
      </c>
      <c r="AA224" s="51" t="s">
        <v>340</v>
      </c>
      <c r="AB224" s="51" t="s">
        <v>342</v>
      </c>
      <c r="AC224" s="51" t="s">
        <v>343</v>
      </c>
      <c r="AE224" t="s">
        <v>1167</v>
      </c>
      <c r="AF224" s="21">
        <v>45286</v>
      </c>
      <c r="AG224" s="48">
        <v>-19.260000000000002</v>
      </c>
      <c r="AJ224" t="s">
        <v>570</v>
      </c>
      <c r="AK224" s="21">
        <v>45292</v>
      </c>
      <c r="AL224" s="48">
        <v>-20</v>
      </c>
      <c r="AO224" t="s">
        <v>352</v>
      </c>
      <c r="AP224" s="21">
        <v>45345</v>
      </c>
      <c r="AQ224" s="48">
        <v>-99.3</v>
      </c>
      <c r="AU224" s="21"/>
      <c r="AV224" s="49"/>
      <c r="AZ224" s="21"/>
      <c r="BA224" s="49"/>
      <c r="BD224" s="38" t="s">
        <v>355</v>
      </c>
      <c r="BE224" s="21">
        <v>45426</v>
      </c>
      <c r="BF224" s="48">
        <v>-37.96</v>
      </c>
    </row>
    <row r="225" spans="1:59" ht="15" thickBot="1" x14ac:dyDescent="0.4">
      <c r="B225" s="2"/>
      <c r="C225" s="55">
        <f>SUM(C219:C224)</f>
        <v>-296.57</v>
      </c>
      <c r="F225" t="s">
        <v>417</v>
      </c>
      <c r="G225" s="21">
        <v>44743</v>
      </c>
      <c r="H225" s="48">
        <v>-22.99</v>
      </c>
      <c r="L225" s="2"/>
      <c r="M225" s="55">
        <f>SUM(M219:M224)</f>
        <v>-135.10999999999999</v>
      </c>
      <c r="P225" s="50" t="s">
        <v>369</v>
      </c>
      <c r="Q225" s="51" t="s">
        <v>340</v>
      </c>
      <c r="R225" s="51" t="s">
        <v>342</v>
      </c>
      <c r="S225" s="51" t="s">
        <v>343</v>
      </c>
      <c r="U225" t="s">
        <v>1167</v>
      </c>
      <c r="V225" s="21">
        <v>45190</v>
      </c>
      <c r="W225" s="48">
        <v>-5.98</v>
      </c>
      <c r="Z225" t="s">
        <v>491</v>
      </c>
      <c r="AA225" s="21">
        <v>45233</v>
      </c>
      <c r="AB225" s="48">
        <v>-20</v>
      </c>
      <c r="AC225" s="150"/>
      <c r="AF225" s="21"/>
      <c r="AG225" s="49"/>
      <c r="AJ225" t="s">
        <v>405</v>
      </c>
      <c r="AK225" s="21">
        <v>45295</v>
      </c>
      <c r="AL225" s="48">
        <v>-8.25</v>
      </c>
      <c r="AO225" t="s">
        <v>352</v>
      </c>
      <c r="AP225" s="21">
        <v>45348</v>
      </c>
      <c r="AQ225" s="48">
        <v>-22.8</v>
      </c>
      <c r="AU225" s="2"/>
      <c r="AV225" s="48">
        <f>SUM(AV220:AV224)</f>
        <v>-28.12</v>
      </c>
      <c r="AZ225" s="2"/>
      <c r="BA225" s="48">
        <f>SUM(BA219:BA224)</f>
        <v>-114.91</v>
      </c>
      <c r="BD225" s="38" t="s">
        <v>352</v>
      </c>
      <c r="BE225" s="21">
        <v>45430</v>
      </c>
      <c r="BF225" s="48">
        <v>-14.9</v>
      </c>
    </row>
    <row r="226" spans="1:59" x14ac:dyDescent="0.35">
      <c r="F226" t="s">
        <v>391</v>
      </c>
      <c r="G226" s="21">
        <v>44744</v>
      </c>
      <c r="H226" s="48">
        <v>-22.66</v>
      </c>
      <c r="P226" t="s">
        <v>896</v>
      </c>
      <c r="Q226" s="21">
        <v>45173</v>
      </c>
      <c r="R226" s="48">
        <v>-7.63</v>
      </c>
      <c r="U226" t="s">
        <v>1167</v>
      </c>
      <c r="V226" s="21">
        <v>45197</v>
      </c>
      <c r="W226" s="48">
        <v>-25.41</v>
      </c>
      <c r="Z226" t="s">
        <v>389</v>
      </c>
      <c r="AA226" s="21">
        <v>45235</v>
      </c>
      <c r="AB226" s="48">
        <v>-7.75</v>
      </c>
      <c r="AC226" s="150"/>
      <c r="AG226" s="48">
        <f>SUM(AG219:AG225)</f>
        <v>-195.29</v>
      </c>
      <c r="AJ226" t="s">
        <v>389</v>
      </c>
      <c r="AK226" s="21">
        <v>45296</v>
      </c>
      <c r="AL226" s="48">
        <v>-7.88</v>
      </c>
      <c r="AO226" t="s">
        <v>352</v>
      </c>
      <c r="AP226" s="21">
        <v>45350</v>
      </c>
      <c r="AQ226" s="48">
        <v>-79.930000000000007</v>
      </c>
      <c r="BD226" s="38" t="s">
        <v>352</v>
      </c>
      <c r="BE226" s="21">
        <v>45432</v>
      </c>
      <c r="BF226" s="48">
        <v>-53.38</v>
      </c>
    </row>
    <row r="227" spans="1:59" x14ac:dyDescent="0.35">
      <c r="F227" t="s">
        <v>1033</v>
      </c>
      <c r="G227" s="21">
        <v>44749</v>
      </c>
      <c r="H227" s="48">
        <v>-90</v>
      </c>
      <c r="P227" t="s">
        <v>896</v>
      </c>
      <c r="Q227" s="21">
        <v>45177</v>
      </c>
      <c r="R227" s="48">
        <v>-25</v>
      </c>
      <c r="U227" t="s">
        <v>1167</v>
      </c>
      <c r="V227" s="21" t="s">
        <v>1170</v>
      </c>
      <c r="W227" s="48">
        <v>-27.48</v>
      </c>
      <c r="Z227" t="s">
        <v>1290</v>
      </c>
      <c r="AA227" s="21">
        <v>45240</v>
      </c>
      <c r="AB227" s="48">
        <v>-15</v>
      </c>
      <c r="AC227" s="150"/>
      <c r="AJ227" t="s">
        <v>570</v>
      </c>
      <c r="AK227" s="21">
        <v>45302</v>
      </c>
      <c r="AL227" s="48">
        <v>-30</v>
      </c>
      <c r="AO227" t="s">
        <v>352</v>
      </c>
      <c r="AP227" s="21">
        <v>45350</v>
      </c>
      <c r="AQ227" s="48">
        <v>-27.23</v>
      </c>
      <c r="BD227" s="38" t="s">
        <v>352</v>
      </c>
      <c r="BE227" s="21">
        <v>45441</v>
      </c>
      <c r="BF227" s="48">
        <v>-19.079999999999998</v>
      </c>
    </row>
    <row r="228" spans="1:59" ht="15" thickBot="1" x14ac:dyDescent="0.4">
      <c r="A228" s="50" t="s">
        <v>369</v>
      </c>
      <c r="B228" s="51" t="s">
        <v>340</v>
      </c>
      <c r="C228" s="51" t="s">
        <v>342</v>
      </c>
      <c r="D228" s="51" t="s">
        <v>343</v>
      </c>
      <c r="F228" t="s">
        <v>390</v>
      </c>
      <c r="G228" s="21">
        <v>45117</v>
      </c>
      <c r="H228" s="48">
        <v>-7.75</v>
      </c>
      <c r="K228" s="50" t="s">
        <v>369</v>
      </c>
      <c r="L228" s="51" t="s">
        <v>340</v>
      </c>
      <c r="M228" s="51" t="s">
        <v>342</v>
      </c>
      <c r="N228" s="51" t="s">
        <v>343</v>
      </c>
      <c r="P228" t="s">
        <v>389</v>
      </c>
      <c r="Q228" s="21">
        <v>45182</v>
      </c>
      <c r="R228" s="48">
        <v>-7.75</v>
      </c>
      <c r="U228" t="s">
        <v>1167</v>
      </c>
      <c r="V228" s="21" t="s">
        <v>1170</v>
      </c>
      <c r="W228" s="48">
        <v>-2</v>
      </c>
      <c r="Z228" t="s">
        <v>389</v>
      </c>
      <c r="AA228" s="21">
        <v>45241</v>
      </c>
      <c r="AB228" s="48">
        <v>-7.75</v>
      </c>
      <c r="AC228" s="150"/>
      <c r="AJ228" t="s">
        <v>570</v>
      </c>
      <c r="AK228" s="21">
        <v>45303</v>
      </c>
      <c r="AL228" s="48">
        <v>-35</v>
      </c>
      <c r="AO228" t="s">
        <v>352</v>
      </c>
      <c r="AP228" s="21">
        <v>45351</v>
      </c>
      <c r="AQ228" s="48">
        <v>-32.49</v>
      </c>
      <c r="AT228" s="50" t="s">
        <v>369</v>
      </c>
      <c r="AU228" s="51" t="s">
        <v>340</v>
      </c>
      <c r="AV228" s="51" t="s">
        <v>342</v>
      </c>
      <c r="AW228" s="51" t="s">
        <v>343</v>
      </c>
      <c r="AY228" s="50" t="s">
        <v>369</v>
      </c>
      <c r="AZ228" s="51" t="s">
        <v>340</v>
      </c>
      <c r="BA228" s="51" t="s">
        <v>342</v>
      </c>
      <c r="BB228" s="51" t="s">
        <v>343</v>
      </c>
      <c r="BE228" s="21"/>
      <c r="BF228" s="49"/>
    </row>
    <row r="229" spans="1:59" ht="15" thickBot="1" x14ac:dyDescent="0.4">
      <c r="A229" t="s">
        <v>980</v>
      </c>
      <c r="B229" s="21">
        <v>45078</v>
      </c>
      <c r="C229" s="48">
        <v>-14.02</v>
      </c>
      <c r="F229" t="s">
        <v>391</v>
      </c>
      <c r="G229" s="21">
        <v>45121</v>
      </c>
      <c r="H229" s="48">
        <v>-18.54</v>
      </c>
      <c r="K229" t="s">
        <v>896</v>
      </c>
      <c r="L229" s="21">
        <v>45140</v>
      </c>
      <c r="M229" s="48">
        <v>-7.58</v>
      </c>
      <c r="P229" t="s">
        <v>896</v>
      </c>
      <c r="Q229" s="21">
        <v>45184</v>
      </c>
      <c r="R229" s="48">
        <v>-40</v>
      </c>
      <c r="V229" s="2"/>
      <c r="W229" s="55">
        <f>SUM(W221:W228)</f>
        <v>-145.27000000000001</v>
      </c>
      <c r="Z229" t="s">
        <v>491</v>
      </c>
      <c r="AA229" s="21">
        <v>45241</v>
      </c>
      <c r="AB229" s="48">
        <v>-12.4</v>
      </c>
      <c r="AC229" s="150"/>
      <c r="AE229" s="50" t="s">
        <v>369</v>
      </c>
      <c r="AF229" s="51" t="s">
        <v>340</v>
      </c>
      <c r="AG229" s="51" t="s">
        <v>342</v>
      </c>
      <c r="AH229" s="51" t="s">
        <v>343</v>
      </c>
      <c r="AJ229" t="s">
        <v>570</v>
      </c>
      <c r="AK229" s="21">
        <v>45312</v>
      </c>
      <c r="AL229" s="48">
        <v>-25</v>
      </c>
      <c r="AP229" s="21"/>
      <c r="AQ229" s="49"/>
      <c r="AT229" t="s">
        <v>389</v>
      </c>
      <c r="AU229" s="21">
        <v>45352</v>
      </c>
      <c r="AV229" s="48">
        <v>-11.5</v>
      </c>
      <c r="AY229" t="s">
        <v>570</v>
      </c>
      <c r="AZ229" s="21">
        <v>45383</v>
      </c>
      <c r="BA229" s="48">
        <v>-33.46</v>
      </c>
      <c r="BE229" s="2"/>
      <c r="BF229" s="48">
        <f>SUM(BF222:BF228)</f>
        <v>-186.76</v>
      </c>
    </row>
    <row r="230" spans="1:59" ht="15" thickBot="1" x14ac:dyDescent="0.4">
      <c r="A230" t="s">
        <v>391</v>
      </c>
      <c r="B230" s="21">
        <v>45081</v>
      </c>
      <c r="C230" s="48">
        <v>-30.78</v>
      </c>
      <c r="F230" t="s">
        <v>390</v>
      </c>
      <c r="G230" s="21">
        <v>45121</v>
      </c>
      <c r="H230" s="48">
        <v>-15.02</v>
      </c>
      <c r="K230" t="s">
        <v>389</v>
      </c>
      <c r="L230" s="21">
        <v>45142</v>
      </c>
      <c r="M230" s="48">
        <v>-16.239999999999998</v>
      </c>
      <c r="P230" t="s">
        <v>491</v>
      </c>
      <c r="Q230" s="21">
        <v>45558</v>
      </c>
      <c r="R230" s="48">
        <v>-8.32</v>
      </c>
      <c r="Z230" t="s">
        <v>389</v>
      </c>
      <c r="AA230" s="21">
        <v>45245</v>
      </c>
      <c r="AB230" s="48">
        <v>-7.75</v>
      </c>
      <c r="AE230" t="s">
        <v>570</v>
      </c>
      <c r="AF230" s="21">
        <v>45268</v>
      </c>
      <c r="AG230" s="48">
        <v>-61.03</v>
      </c>
      <c r="AJ230" t="s">
        <v>570</v>
      </c>
      <c r="AK230" s="21">
        <v>45316</v>
      </c>
      <c r="AL230" s="48">
        <v>-50</v>
      </c>
      <c r="AQ230" s="48">
        <f>SUM(AQ214:AQ229)</f>
        <v>-517.9</v>
      </c>
      <c r="AT230" t="s">
        <v>570</v>
      </c>
      <c r="AU230" s="21">
        <v>45354</v>
      </c>
      <c r="AV230" s="48">
        <v>-24</v>
      </c>
      <c r="AY230" t="s">
        <v>503</v>
      </c>
      <c r="AZ230" s="21">
        <v>45383</v>
      </c>
      <c r="BA230" s="48">
        <v>-12</v>
      </c>
    </row>
    <row r="231" spans="1:59" ht="15" thickBot="1" x14ac:dyDescent="0.4">
      <c r="A231" t="s">
        <v>981</v>
      </c>
      <c r="B231" s="21">
        <v>45082</v>
      </c>
      <c r="C231" s="48">
        <v>-8</v>
      </c>
      <c r="F231" t="s">
        <v>1044</v>
      </c>
      <c r="G231" s="21">
        <v>45122</v>
      </c>
      <c r="H231" s="48">
        <v>-69</v>
      </c>
      <c r="K231" t="s">
        <v>896</v>
      </c>
      <c r="L231" s="21">
        <v>45147</v>
      </c>
      <c r="M231" s="48">
        <v>-7.58</v>
      </c>
      <c r="Q231" s="2"/>
      <c r="R231" s="55">
        <f>SUM(R226:R230)</f>
        <v>-88.699999999999989</v>
      </c>
      <c r="Z231" t="s">
        <v>491</v>
      </c>
      <c r="AA231" s="21">
        <v>45247</v>
      </c>
      <c r="AB231" s="48">
        <v>-20</v>
      </c>
      <c r="AE231" t="s">
        <v>570</v>
      </c>
      <c r="AF231" s="21">
        <v>45274</v>
      </c>
      <c r="AG231" s="48">
        <v>-25</v>
      </c>
      <c r="AJ231" t="s">
        <v>570</v>
      </c>
      <c r="AK231" s="21">
        <v>45319</v>
      </c>
      <c r="AL231" s="48">
        <v>-4</v>
      </c>
      <c r="AT231" t="s">
        <v>571</v>
      </c>
      <c r="AU231" s="21">
        <v>45360</v>
      </c>
      <c r="AV231" s="48">
        <v>-35.42</v>
      </c>
      <c r="AY231" t="s">
        <v>970</v>
      </c>
      <c r="AZ231" s="21">
        <v>45386</v>
      </c>
      <c r="BA231" s="48">
        <v>-56.07</v>
      </c>
    </row>
    <row r="232" spans="1:59" x14ac:dyDescent="0.35">
      <c r="A232" t="s">
        <v>982</v>
      </c>
      <c r="B232" s="21">
        <v>45083</v>
      </c>
      <c r="C232" s="48">
        <v>-47.95</v>
      </c>
      <c r="F232" t="s">
        <v>390</v>
      </c>
      <c r="G232" s="21">
        <v>45128</v>
      </c>
      <c r="H232" s="48">
        <v>-6.74</v>
      </c>
      <c r="K232" t="s">
        <v>1106</v>
      </c>
      <c r="L232" s="21">
        <v>45148</v>
      </c>
      <c r="M232" s="48">
        <v>-30</v>
      </c>
      <c r="U232" s="50" t="s">
        <v>369</v>
      </c>
      <c r="V232" s="51" t="s">
        <v>340</v>
      </c>
      <c r="W232" s="51" t="s">
        <v>342</v>
      </c>
      <c r="X232" s="51" t="s">
        <v>343</v>
      </c>
      <c r="Z232" t="s">
        <v>570</v>
      </c>
      <c r="AA232" s="21">
        <v>45248</v>
      </c>
      <c r="AB232" s="48">
        <v>-15.41</v>
      </c>
      <c r="AE232" t="s">
        <v>570</v>
      </c>
      <c r="AF232" s="21">
        <v>45291</v>
      </c>
      <c r="AG232" s="48">
        <v>-22</v>
      </c>
      <c r="AL232" s="55">
        <f>SUM(AL223:AL231)</f>
        <v>-202.13</v>
      </c>
      <c r="AT232" t="s">
        <v>389</v>
      </c>
      <c r="AU232" s="21">
        <v>45362</v>
      </c>
      <c r="AV232" s="48">
        <v>-7.27</v>
      </c>
      <c r="AY232" t="s">
        <v>570</v>
      </c>
      <c r="AZ232" s="21">
        <v>45386</v>
      </c>
      <c r="BA232" s="48">
        <f>-22.38</f>
        <v>-22.38</v>
      </c>
      <c r="BD232" s="157" t="s">
        <v>369</v>
      </c>
      <c r="BE232" s="51" t="s">
        <v>340</v>
      </c>
      <c r="BF232" s="51" t="s">
        <v>342</v>
      </c>
      <c r="BG232" s="51" t="s">
        <v>343</v>
      </c>
    </row>
    <row r="233" spans="1:59" ht="15" thickBot="1" x14ac:dyDescent="0.4">
      <c r="A233" t="s">
        <v>390</v>
      </c>
      <c r="B233" s="21">
        <v>45084</v>
      </c>
      <c r="C233" s="48">
        <v>-16.48</v>
      </c>
      <c r="F233" t="s">
        <v>1046</v>
      </c>
      <c r="G233" s="21">
        <v>45128</v>
      </c>
      <c r="H233" s="48">
        <v>-23.09</v>
      </c>
      <c r="I233" t="s">
        <v>560</v>
      </c>
      <c r="K233" t="s">
        <v>391</v>
      </c>
      <c r="L233" s="21">
        <v>45151</v>
      </c>
      <c r="M233" s="48">
        <v>-10.3</v>
      </c>
      <c r="U233" t="s">
        <v>389</v>
      </c>
      <c r="V233" s="21">
        <v>45201</v>
      </c>
      <c r="W233" s="48">
        <v>-7.75</v>
      </c>
      <c r="Z233" t="s">
        <v>1292</v>
      </c>
      <c r="AA233" s="21">
        <v>45251</v>
      </c>
      <c r="AB233" s="48">
        <v>-20</v>
      </c>
      <c r="AE233" t="s">
        <v>570</v>
      </c>
      <c r="AF233" s="21">
        <v>45291</v>
      </c>
      <c r="AG233" s="48">
        <v>-20</v>
      </c>
      <c r="AO233" s="50" t="s">
        <v>369</v>
      </c>
      <c r="AP233" s="51" t="s">
        <v>340</v>
      </c>
      <c r="AQ233" s="51" t="s">
        <v>342</v>
      </c>
      <c r="AR233" s="51" t="s">
        <v>343</v>
      </c>
      <c r="AT233" t="s">
        <v>570</v>
      </c>
      <c r="AU233" s="21">
        <v>45362</v>
      </c>
      <c r="AV233" s="48">
        <v>-48.42</v>
      </c>
      <c r="AY233" t="s">
        <v>570</v>
      </c>
      <c r="AZ233" s="21">
        <v>45386</v>
      </c>
      <c r="BA233" s="48">
        <v>-12.37</v>
      </c>
      <c r="BD233" s="38" t="s">
        <v>570</v>
      </c>
      <c r="BE233" s="21">
        <v>45421</v>
      </c>
      <c r="BF233" s="48">
        <v>-21.58</v>
      </c>
    </row>
    <row r="234" spans="1:59" x14ac:dyDescent="0.35">
      <c r="A234" t="s">
        <v>390</v>
      </c>
      <c r="B234" s="21">
        <v>45086</v>
      </c>
      <c r="C234" s="48">
        <v>-7.75</v>
      </c>
      <c r="F234" t="s">
        <v>1047</v>
      </c>
      <c r="G234" s="21">
        <v>45128</v>
      </c>
      <c r="H234" s="48">
        <v>-26.5</v>
      </c>
      <c r="I234" t="s">
        <v>560</v>
      </c>
      <c r="K234" t="s">
        <v>896</v>
      </c>
      <c r="L234" s="21">
        <v>45157</v>
      </c>
      <c r="M234" s="48">
        <v>-48.71</v>
      </c>
      <c r="P234" s="50" t="s">
        <v>333</v>
      </c>
      <c r="Q234" s="51" t="s">
        <v>340</v>
      </c>
      <c r="R234" s="51" t="s">
        <v>342</v>
      </c>
      <c r="S234" s="51" t="s">
        <v>343</v>
      </c>
      <c r="U234" t="s">
        <v>570</v>
      </c>
      <c r="V234" s="21">
        <v>45205</v>
      </c>
      <c r="W234" s="48">
        <v>-35</v>
      </c>
      <c r="Z234" t="s">
        <v>1293</v>
      </c>
      <c r="AA234" s="21">
        <v>45255</v>
      </c>
      <c r="AB234" s="48">
        <v>-10.97</v>
      </c>
      <c r="AG234" s="55">
        <f>SUM(AG230:AG233)</f>
        <v>-128.03</v>
      </c>
      <c r="AO234" t="s">
        <v>389</v>
      </c>
      <c r="AP234" s="21">
        <v>45324</v>
      </c>
      <c r="AQ234" s="48">
        <v>-8.26</v>
      </c>
      <c r="AT234" t="s">
        <v>570</v>
      </c>
      <c r="AU234" s="21">
        <v>45364</v>
      </c>
      <c r="AV234" s="48">
        <v>-35.369999999999997</v>
      </c>
      <c r="AY234" t="s">
        <v>389</v>
      </c>
      <c r="AZ234" s="21">
        <v>45388</v>
      </c>
      <c r="BA234" s="48">
        <f>--15.15</f>
        <v>15.15</v>
      </c>
      <c r="BD234" s="38" t="s">
        <v>570</v>
      </c>
      <c r="BE234" s="21">
        <v>45421</v>
      </c>
      <c r="BF234" s="48">
        <v>-25.27</v>
      </c>
    </row>
    <row r="235" spans="1:59" x14ac:dyDescent="0.35">
      <c r="A235" t="s">
        <v>983</v>
      </c>
      <c r="B235" s="21">
        <v>45087</v>
      </c>
      <c r="C235" s="48">
        <v>-11.95</v>
      </c>
      <c r="F235" t="s">
        <v>1048</v>
      </c>
      <c r="G235" s="21">
        <v>45128</v>
      </c>
      <c r="H235" s="48">
        <v>-4.2</v>
      </c>
      <c r="I235" t="s">
        <v>560</v>
      </c>
      <c r="K235" t="s">
        <v>873</v>
      </c>
      <c r="L235" s="21">
        <v>45160</v>
      </c>
      <c r="M235" s="48">
        <v>-5.03</v>
      </c>
      <c r="N235" t="s">
        <v>560</v>
      </c>
      <c r="P235" t="s">
        <v>872</v>
      </c>
      <c r="Q235" s="2"/>
      <c r="R235" s="48"/>
      <c r="U235" t="s">
        <v>570</v>
      </c>
      <c r="V235" s="21">
        <v>45205</v>
      </c>
      <c r="W235" s="48">
        <v>-33.700000000000003</v>
      </c>
      <c r="AA235" s="21"/>
      <c r="AB235" s="48"/>
      <c r="AJ235" s="50" t="s">
        <v>333</v>
      </c>
      <c r="AK235" s="51" t="s">
        <v>340</v>
      </c>
      <c r="AL235" s="51" t="s">
        <v>342</v>
      </c>
      <c r="AM235" s="51" t="s">
        <v>343</v>
      </c>
      <c r="AO235" t="s">
        <v>1396</v>
      </c>
      <c r="AP235" s="21">
        <v>45325</v>
      </c>
      <c r="AQ235" s="48">
        <v>-20.12</v>
      </c>
      <c r="AT235" t="s">
        <v>570</v>
      </c>
      <c r="AU235" s="21">
        <v>45369</v>
      </c>
      <c r="AV235" s="48">
        <v>-27.5</v>
      </c>
      <c r="AY235" t="s">
        <v>386</v>
      </c>
      <c r="AZ235" s="21">
        <v>45388</v>
      </c>
      <c r="BA235" s="48">
        <v>-14.28</v>
      </c>
      <c r="BD235" s="38" t="s">
        <v>389</v>
      </c>
      <c r="BE235" s="21">
        <v>45423</v>
      </c>
      <c r="BF235" s="48">
        <v>-7.88</v>
      </c>
    </row>
    <row r="236" spans="1:59" ht="15" thickBot="1" x14ac:dyDescent="0.4">
      <c r="A236" t="s">
        <v>984</v>
      </c>
      <c r="B236" s="21">
        <v>45087</v>
      </c>
      <c r="C236" s="48">
        <v>-157.26</v>
      </c>
      <c r="F236" t="s">
        <v>1049</v>
      </c>
      <c r="G236" s="21">
        <v>45129</v>
      </c>
      <c r="H236" s="48">
        <v>-31.8</v>
      </c>
      <c r="I236" t="s">
        <v>560</v>
      </c>
      <c r="K236" t="s">
        <v>389</v>
      </c>
      <c r="L236" s="21">
        <v>45160</v>
      </c>
      <c r="M236" s="48">
        <v>-8.02</v>
      </c>
      <c r="N236" t="s">
        <v>560</v>
      </c>
      <c r="P236" t="s">
        <v>911</v>
      </c>
      <c r="Q236" s="21">
        <v>45108</v>
      </c>
      <c r="R236" s="48">
        <v>-200</v>
      </c>
      <c r="U236" t="s">
        <v>491</v>
      </c>
      <c r="V236" s="21">
        <v>45213</v>
      </c>
      <c r="W236" s="48">
        <v>-10</v>
      </c>
      <c r="AA236" s="21"/>
      <c r="AB236" s="48"/>
      <c r="AJ236" t="s">
        <v>1387</v>
      </c>
      <c r="AK236" s="21">
        <v>45294</v>
      </c>
      <c r="AL236" s="48">
        <v>-16.64</v>
      </c>
      <c r="AO236" t="s">
        <v>1397</v>
      </c>
      <c r="AP236" s="21">
        <v>45326</v>
      </c>
      <c r="AQ236" s="48">
        <v>-60.28</v>
      </c>
      <c r="AT236" t="s">
        <v>873</v>
      </c>
      <c r="AU236" s="21">
        <v>45373</v>
      </c>
      <c r="AV236" s="48">
        <v>-11.16</v>
      </c>
      <c r="AY236" t="s">
        <v>1425</v>
      </c>
      <c r="AZ236" s="21">
        <v>45389</v>
      </c>
      <c r="BA236" s="48">
        <v>-7.39</v>
      </c>
      <c r="BD236" s="38" t="s">
        <v>981</v>
      </c>
      <c r="BE236" s="21">
        <v>45424</v>
      </c>
      <c r="BF236" s="48">
        <v>-72</v>
      </c>
    </row>
    <row r="237" spans="1:59" ht="15" thickBot="1" x14ac:dyDescent="0.4">
      <c r="A237" t="s">
        <v>497</v>
      </c>
      <c r="B237" s="21">
        <v>45088</v>
      </c>
      <c r="C237" s="48">
        <v>-20.87</v>
      </c>
      <c r="F237" t="s">
        <v>1049</v>
      </c>
      <c r="G237" s="21">
        <v>45130</v>
      </c>
      <c r="H237" s="48">
        <v>-30.8</v>
      </c>
      <c r="I237" t="s">
        <v>560</v>
      </c>
      <c r="K237" t="s">
        <v>1116</v>
      </c>
      <c r="L237" s="21">
        <v>45161</v>
      </c>
      <c r="M237" s="48">
        <v>-93.99</v>
      </c>
      <c r="N237" t="s">
        <v>560</v>
      </c>
      <c r="Q237" s="2"/>
      <c r="R237" s="55">
        <f>SUM(R235:R236)</f>
        <v>-200</v>
      </c>
      <c r="U237" t="s">
        <v>417</v>
      </c>
      <c r="V237" s="21">
        <v>45213</v>
      </c>
      <c r="W237" s="48">
        <v>-8.2799999999999994</v>
      </c>
      <c r="AA237" s="21"/>
      <c r="AB237" s="49"/>
      <c r="AE237" s="50" t="s">
        <v>333</v>
      </c>
      <c r="AF237" s="51" t="s">
        <v>340</v>
      </c>
      <c r="AG237" s="51" t="s">
        <v>342</v>
      </c>
      <c r="AH237" s="51" t="s">
        <v>343</v>
      </c>
      <c r="AJ237" t="s">
        <v>1417</v>
      </c>
      <c r="AK237" s="21">
        <v>45306</v>
      </c>
      <c r="AL237" s="48">
        <v>-21.94</v>
      </c>
      <c r="AO237" t="s">
        <v>1398</v>
      </c>
      <c r="AP237" s="21">
        <v>45326</v>
      </c>
      <c r="AQ237" s="48">
        <v>-48</v>
      </c>
      <c r="AT237" t="s">
        <v>570</v>
      </c>
      <c r="AU237" s="21">
        <v>45373</v>
      </c>
      <c r="AV237" s="48">
        <v>-17.37</v>
      </c>
      <c r="AY237" t="s">
        <v>1425</v>
      </c>
      <c r="AZ237" s="21">
        <v>45389</v>
      </c>
      <c r="BA237" s="48">
        <v>-77.13</v>
      </c>
      <c r="BD237" s="38" t="s">
        <v>981</v>
      </c>
      <c r="BE237" s="21">
        <v>45425</v>
      </c>
      <c r="BF237" s="48">
        <v>-18.329999999999998</v>
      </c>
    </row>
    <row r="238" spans="1:59" x14ac:dyDescent="0.35">
      <c r="A238" t="s">
        <v>570</v>
      </c>
      <c r="B238" s="21">
        <v>45091</v>
      </c>
      <c r="C238" s="48">
        <v>-7.58</v>
      </c>
      <c r="F238" t="s">
        <v>1050</v>
      </c>
      <c r="G238" s="21">
        <v>45131</v>
      </c>
      <c r="H238" s="48">
        <v>-29.8</v>
      </c>
      <c r="I238" t="s">
        <v>560</v>
      </c>
      <c r="K238" t="s">
        <v>1117</v>
      </c>
      <c r="L238" s="21">
        <v>45161</v>
      </c>
      <c r="M238" s="48">
        <v>-30.02</v>
      </c>
      <c r="N238" t="s">
        <v>560</v>
      </c>
      <c r="U238" t="s">
        <v>570</v>
      </c>
      <c r="V238" s="21">
        <v>45219</v>
      </c>
      <c r="W238" s="48">
        <v>-30</v>
      </c>
      <c r="AA238" s="2"/>
      <c r="AB238" s="48">
        <f>SUM(AB225:AB237)</f>
        <v>-137.03</v>
      </c>
      <c r="AF238" s="21"/>
      <c r="AG238" s="48"/>
      <c r="AJ238" t="s">
        <v>1417</v>
      </c>
      <c r="AK238" s="21">
        <v>45306</v>
      </c>
      <c r="AL238" s="48">
        <v>-15.67</v>
      </c>
      <c r="AO238" t="s">
        <v>964</v>
      </c>
      <c r="AP238" s="21">
        <v>45328</v>
      </c>
      <c r="AQ238" s="48">
        <v>-12.87</v>
      </c>
      <c r="AT238" t="s">
        <v>1422</v>
      </c>
      <c r="AU238" s="21">
        <v>45375</v>
      </c>
      <c r="AV238" s="48">
        <v>-24</v>
      </c>
      <c r="AY238" t="s">
        <v>1426</v>
      </c>
      <c r="AZ238" s="21">
        <v>45389</v>
      </c>
      <c r="BA238" s="48">
        <v>-11.69</v>
      </c>
      <c r="BD238" s="38" t="s">
        <v>981</v>
      </c>
      <c r="BE238" s="21">
        <v>45425</v>
      </c>
      <c r="BF238" s="48">
        <v>-17</v>
      </c>
    </row>
    <row r="239" spans="1:59" ht="15" thickBot="1" x14ac:dyDescent="0.4">
      <c r="A239" t="s">
        <v>975</v>
      </c>
      <c r="B239" s="21">
        <v>45091</v>
      </c>
      <c r="C239" s="48">
        <v>-17.350000000000001</v>
      </c>
      <c r="F239" t="s">
        <v>1051</v>
      </c>
      <c r="G239" s="21">
        <v>45131</v>
      </c>
      <c r="H239" s="48">
        <v>-126.81</v>
      </c>
      <c r="I239" t="s">
        <v>560</v>
      </c>
      <c r="K239" t="s">
        <v>1118</v>
      </c>
      <c r="L239" s="21">
        <v>45161</v>
      </c>
      <c r="M239" s="48">
        <v>-20.100000000000001</v>
      </c>
      <c r="N239" t="s">
        <v>560</v>
      </c>
      <c r="U239" t="s">
        <v>570</v>
      </c>
      <c r="V239" s="21">
        <v>45219</v>
      </c>
      <c r="W239" s="48">
        <v>-14.84</v>
      </c>
      <c r="AF239" s="21"/>
      <c r="AG239" s="49"/>
      <c r="AJ239" t="s">
        <v>1387</v>
      </c>
      <c r="AK239" s="21">
        <v>45319</v>
      </c>
      <c r="AL239" s="48">
        <v>-40.1</v>
      </c>
      <c r="AO239" t="s">
        <v>1407</v>
      </c>
      <c r="AP239" s="21">
        <v>45330</v>
      </c>
      <c r="AQ239" s="48">
        <v>-19.71</v>
      </c>
      <c r="AT239" t="s">
        <v>570</v>
      </c>
      <c r="AU239" s="21">
        <v>45380</v>
      </c>
      <c r="AV239" s="48">
        <v>-33.01</v>
      </c>
      <c r="AY239" t="s">
        <v>389</v>
      </c>
      <c r="AZ239" s="21">
        <v>45390</v>
      </c>
      <c r="BA239" s="48">
        <v>-16.05</v>
      </c>
      <c r="BD239" s="38" t="s">
        <v>570</v>
      </c>
      <c r="BE239" s="21">
        <v>45425</v>
      </c>
      <c r="BF239" s="48">
        <v>17.37</v>
      </c>
    </row>
    <row r="240" spans="1:59" ht="15" thickBot="1" x14ac:dyDescent="0.4">
      <c r="A240" t="s">
        <v>389</v>
      </c>
      <c r="B240" s="21">
        <v>45092</v>
      </c>
      <c r="C240" s="48">
        <v>-23.75</v>
      </c>
      <c r="F240" t="s">
        <v>437</v>
      </c>
      <c r="G240" s="21">
        <v>45132</v>
      </c>
      <c r="H240" s="48">
        <v>-42.08</v>
      </c>
      <c r="I240" t="s">
        <v>560</v>
      </c>
      <c r="K240" t="s">
        <v>1148</v>
      </c>
      <c r="L240" s="21">
        <v>45162</v>
      </c>
      <c r="M240" s="48">
        <v>-22.57</v>
      </c>
      <c r="N240" t="s">
        <v>560</v>
      </c>
      <c r="P240" s="50" t="s">
        <v>335</v>
      </c>
      <c r="Q240" s="51" t="s">
        <v>340</v>
      </c>
      <c r="R240" s="51" t="s">
        <v>342</v>
      </c>
      <c r="S240" s="51" t="s">
        <v>343</v>
      </c>
      <c r="U240" t="s">
        <v>491</v>
      </c>
      <c r="V240" s="21">
        <v>45220</v>
      </c>
      <c r="W240" s="48">
        <v>-12.36</v>
      </c>
      <c r="AG240" s="48">
        <f>SUM(AG238:AG239)</f>
        <v>0</v>
      </c>
      <c r="AK240" s="21"/>
      <c r="AL240" s="49"/>
      <c r="AO240" t="s">
        <v>1407</v>
      </c>
      <c r="AP240" s="21">
        <v>45331</v>
      </c>
      <c r="AQ240" s="48">
        <v>-21.66</v>
      </c>
      <c r="AT240" t="s">
        <v>1424</v>
      </c>
      <c r="AU240" s="21">
        <v>45382</v>
      </c>
      <c r="AV240" s="48">
        <v>-71.95</v>
      </c>
      <c r="AY240" t="s">
        <v>1427</v>
      </c>
      <c r="AZ240" s="21">
        <v>45391</v>
      </c>
      <c r="BA240" s="48">
        <v>-98.14</v>
      </c>
      <c r="BD240" s="38" t="s">
        <v>570</v>
      </c>
      <c r="BE240" s="21">
        <v>45425</v>
      </c>
      <c r="BF240" s="48">
        <v>-17.63</v>
      </c>
    </row>
    <row r="241" spans="1:59" x14ac:dyDescent="0.35">
      <c r="A241" t="s">
        <v>1021</v>
      </c>
      <c r="B241" s="21">
        <v>45094</v>
      </c>
      <c r="C241" s="48">
        <v>-10</v>
      </c>
      <c r="F241" t="s">
        <v>1052</v>
      </c>
      <c r="G241" s="21">
        <v>45132</v>
      </c>
      <c r="H241" s="48">
        <v>-5.92</v>
      </c>
      <c r="I241" t="s">
        <v>560</v>
      </c>
      <c r="K241" t="s">
        <v>964</v>
      </c>
      <c r="L241" s="21">
        <v>45163</v>
      </c>
      <c r="M241" s="48">
        <v>-23.51</v>
      </c>
      <c r="N241" t="s">
        <v>560</v>
      </c>
      <c r="P241" s="35" t="s">
        <v>973</v>
      </c>
      <c r="Q241" s="21">
        <v>45182</v>
      </c>
      <c r="R241" s="48">
        <v>-32</v>
      </c>
      <c r="U241" t="s">
        <v>491</v>
      </c>
      <c r="V241" s="21">
        <v>45226</v>
      </c>
      <c r="W241" s="48">
        <v>-24</v>
      </c>
      <c r="Z241" s="50" t="s">
        <v>333</v>
      </c>
      <c r="AA241" s="51" t="s">
        <v>340</v>
      </c>
      <c r="AB241" s="51" t="s">
        <v>342</v>
      </c>
      <c r="AC241" s="51" t="s">
        <v>343</v>
      </c>
      <c r="AL241" s="48">
        <f>SUM(AL236:AL240)</f>
        <v>-94.35</v>
      </c>
      <c r="AO241" t="s">
        <v>1409</v>
      </c>
      <c r="AP241" s="21">
        <v>45331</v>
      </c>
      <c r="AQ241" s="48">
        <v>-44.79</v>
      </c>
      <c r="AU241" s="21"/>
      <c r="AV241" s="48"/>
      <c r="AY241" t="s">
        <v>873</v>
      </c>
      <c r="AZ241" s="21">
        <v>45395</v>
      </c>
      <c r="BA241" s="48">
        <v>-23.65</v>
      </c>
      <c r="BD241" s="38" t="s">
        <v>570</v>
      </c>
      <c r="BE241" s="21">
        <v>45428</v>
      </c>
      <c r="BF241" s="48">
        <v>-174.17</v>
      </c>
    </row>
    <row r="242" spans="1:59" ht="15" thickBot="1" x14ac:dyDescent="0.4">
      <c r="A242" t="s">
        <v>970</v>
      </c>
      <c r="B242" s="21">
        <v>45095</v>
      </c>
      <c r="C242" s="48">
        <v>-15.17</v>
      </c>
      <c r="F242" t="s">
        <v>417</v>
      </c>
      <c r="G242" s="21">
        <v>45132</v>
      </c>
      <c r="H242" s="48">
        <v>-15.05</v>
      </c>
      <c r="K242" t="s">
        <v>416</v>
      </c>
      <c r="L242" s="21">
        <v>45164</v>
      </c>
      <c r="M242" s="48">
        <v>-17.28</v>
      </c>
      <c r="N242" t="s">
        <v>560</v>
      </c>
      <c r="R242" s="49"/>
      <c r="U242" t="s">
        <v>491</v>
      </c>
      <c r="V242" s="21">
        <v>45227</v>
      </c>
      <c r="W242" s="48">
        <v>-18.52</v>
      </c>
      <c r="AA242" s="21"/>
      <c r="AB242" s="48"/>
      <c r="AO242" t="s">
        <v>1397</v>
      </c>
      <c r="AP242" s="21">
        <v>45331</v>
      </c>
      <c r="AQ242" s="48">
        <v>-16.87</v>
      </c>
      <c r="AU242" s="21"/>
      <c r="AV242" s="48"/>
      <c r="AY242" t="s">
        <v>873</v>
      </c>
      <c r="AZ242" s="21">
        <v>45395</v>
      </c>
      <c r="BA242" s="48">
        <v>-10.18</v>
      </c>
      <c r="BD242" s="38" t="s">
        <v>873</v>
      </c>
      <c r="BE242" s="21">
        <v>45429</v>
      </c>
      <c r="BF242" s="48">
        <v>-11.81</v>
      </c>
    </row>
    <row r="243" spans="1:59" ht="15" thickBot="1" x14ac:dyDescent="0.4">
      <c r="A243" t="s">
        <v>389</v>
      </c>
      <c r="B243" s="21">
        <v>45097</v>
      </c>
      <c r="C243" s="48">
        <v>-7.41</v>
      </c>
      <c r="G243" s="2"/>
      <c r="H243" s="55">
        <f>SUM(H225:H242)</f>
        <v>-588.75</v>
      </c>
      <c r="L243" s="2"/>
      <c r="M243" s="55">
        <f>SUM(M229:M242)</f>
        <v>-340.92999999999995</v>
      </c>
      <c r="Q243" s="2"/>
      <c r="R243" s="48">
        <f>SUM(R241:R242)</f>
        <v>-32</v>
      </c>
      <c r="U243" t="s">
        <v>411</v>
      </c>
      <c r="V243" s="21">
        <v>45230</v>
      </c>
      <c r="W243" s="48">
        <v>-70</v>
      </c>
      <c r="AA243" s="21"/>
      <c r="AB243" s="49"/>
      <c r="AE243" s="50" t="s">
        <v>335</v>
      </c>
      <c r="AF243" s="51" t="s">
        <v>340</v>
      </c>
      <c r="AG243" s="51" t="s">
        <v>342</v>
      </c>
      <c r="AH243" s="51" t="s">
        <v>343</v>
      </c>
      <c r="AO243" t="s">
        <v>1397</v>
      </c>
      <c r="AP243" s="21">
        <v>45331</v>
      </c>
      <c r="AQ243" s="48">
        <v>-62.4</v>
      </c>
      <c r="AU243" s="21"/>
      <c r="AV243" s="49"/>
      <c r="AY243" t="s">
        <v>389</v>
      </c>
      <c r="AZ243" s="21">
        <v>45395</v>
      </c>
      <c r="BA243" s="48">
        <v>-7.27</v>
      </c>
      <c r="BD243" s="38" t="s">
        <v>389</v>
      </c>
      <c r="BE243" s="21">
        <v>45429</v>
      </c>
      <c r="BF243" s="48">
        <v>-7.88</v>
      </c>
    </row>
    <row r="244" spans="1:59" x14ac:dyDescent="0.35">
      <c r="A244" t="s">
        <v>570</v>
      </c>
      <c r="B244" s="21">
        <v>45098</v>
      </c>
      <c r="C244" s="48">
        <v>-35.4</v>
      </c>
      <c r="Q244" s="2"/>
      <c r="R244" s="48"/>
      <c r="V244" s="2"/>
      <c r="W244" s="55">
        <f>SUM(W233:W243)</f>
        <v>-264.45000000000005</v>
      </c>
      <c r="AA244" s="2"/>
      <c r="AB244" s="48">
        <f>SUM(AB242:AB243)</f>
        <v>0</v>
      </c>
      <c r="AE244" s="35" t="s">
        <v>1238</v>
      </c>
      <c r="AF244" s="21">
        <v>45286</v>
      </c>
      <c r="AG244" s="48">
        <v>-1080</v>
      </c>
      <c r="AJ244" s="50" t="s">
        <v>335</v>
      </c>
      <c r="AK244" s="51" t="s">
        <v>340</v>
      </c>
      <c r="AL244" s="51" t="s">
        <v>342</v>
      </c>
      <c r="AM244" s="51" t="s">
        <v>343</v>
      </c>
      <c r="AO244" t="s">
        <v>1407</v>
      </c>
      <c r="AP244" s="21">
        <v>45332</v>
      </c>
      <c r="AQ244" s="48">
        <v>-3.17</v>
      </c>
      <c r="AU244" s="2"/>
      <c r="AV244" s="48">
        <f>SUM(AV229:AV243)</f>
        <v>-346.96999999999997</v>
      </c>
      <c r="AY244" t="s">
        <v>570</v>
      </c>
      <c r="AZ244" s="21">
        <v>45396</v>
      </c>
      <c r="BA244" s="48">
        <v>-33</v>
      </c>
      <c r="BD244" s="38" t="s">
        <v>570</v>
      </c>
      <c r="BE244" s="21">
        <v>45436</v>
      </c>
      <c r="BF244" s="48">
        <v>-29.37</v>
      </c>
    </row>
    <row r="245" spans="1:59" ht="15" thickBot="1" x14ac:dyDescent="0.4">
      <c r="A245" t="s">
        <v>391</v>
      </c>
      <c r="B245" s="21">
        <v>45101</v>
      </c>
      <c r="C245" s="48">
        <v>-31.78</v>
      </c>
      <c r="Q245" s="2"/>
      <c r="R245" s="48"/>
      <c r="AE245" s="38"/>
      <c r="AG245" s="49"/>
      <c r="AJ245" t="s">
        <v>428</v>
      </c>
      <c r="AK245" s="21">
        <v>45297</v>
      </c>
      <c r="AL245" s="48">
        <v>-35</v>
      </c>
      <c r="AO245" t="s">
        <v>1412</v>
      </c>
      <c r="AP245" s="21">
        <v>45332</v>
      </c>
      <c r="AQ245" s="48">
        <v>-9</v>
      </c>
      <c r="AY245" t="s">
        <v>389</v>
      </c>
      <c r="AZ245" s="21">
        <v>45401</v>
      </c>
      <c r="BA245" s="48">
        <v>-7.88</v>
      </c>
      <c r="BD245" s="38" t="s">
        <v>570</v>
      </c>
      <c r="BE245" s="21">
        <v>45439</v>
      </c>
      <c r="BF245" s="48">
        <v>-49.99</v>
      </c>
    </row>
    <row r="246" spans="1:59" ht="15" thickBot="1" x14ac:dyDescent="0.4">
      <c r="A246" t="s">
        <v>1026</v>
      </c>
      <c r="B246" s="21">
        <v>45103</v>
      </c>
      <c r="C246" s="48">
        <v>-56.48</v>
      </c>
      <c r="F246" s="50" t="s">
        <v>333</v>
      </c>
      <c r="G246" s="51" t="s">
        <v>340</v>
      </c>
      <c r="H246" s="51" t="s">
        <v>342</v>
      </c>
      <c r="I246" s="51" t="s">
        <v>343</v>
      </c>
      <c r="K246" s="50" t="s">
        <v>333</v>
      </c>
      <c r="L246" s="51" t="s">
        <v>340</v>
      </c>
      <c r="M246" s="51" t="s">
        <v>342</v>
      </c>
      <c r="N246" s="51" t="s">
        <v>343</v>
      </c>
      <c r="P246" s="50" t="s">
        <v>337</v>
      </c>
      <c r="Q246" s="51" t="s">
        <v>340</v>
      </c>
      <c r="R246" s="51" t="s">
        <v>342</v>
      </c>
      <c r="S246" s="51" t="s">
        <v>343</v>
      </c>
      <c r="AG246" s="48">
        <f>SUM(AG244:AG245)</f>
        <v>-1080</v>
      </c>
      <c r="AL246" s="49"/>
      <c r="AO246" t="s">
        <v>1413</v>
      </c>
      <c r="AP246" s="21">
        <v>45332</v>
      </c>
      <c r="AQ246" s="48">
        <v>-42.19</v>
      </c>
      <c r="AY246" t="s">
        <v>570</v>
      </c>
      <c r="AZ246" s="21">
        <v>45401</v>
      </c>
      <c r="BA246" s="48">
        <v>-29.37</v>
      </c>
      <c r="BD246" s="38" t="s">
        <v>570</v>
      </c>
      <c r="BE246" s="21">
        <v>45441</v>
      </c>
      <c r="BF246" s="48">
        <v>-32</v>
      </c>
    </row>
    <row r="247" spans="1:59" x14ac:dyDescent="0.35">
      <c r="A247" t="s">
        <v>389</v>
      </c>
      <c r="B247" s="21">
        <v>45104</v>
      </c>
      <c r="C247" s="48">
        <v>-7.75</v>
      </c>
      <c r="F247" t="s">
        <v>872</v>
      </c>
      <c r="G247" s="2"/>
      <c r="H247" s="48"/>
      <c r="K247" t="s">
        <v>1149</v>
      </c>
      <c r="L247" s="21">
        <v>45162</v>
      </c>
      <c r="M247" s="48">
        <v>-52</v>
      </c>
      <c r="N247" t="s">
        <v>560</v>
      </c>
      <c r="Q247" s="21"/>
      <c r="R247" s="48"/>
      <c r="U247" s="50" t="s">
        <v>333</v>
      </c>
      <c r="V247" s="51" t="s">
        <v>340</v>
      </c>
      <c r="W247" s="51" t="s">
        <v>342</v>
      </c>
      <c r="X247" s="51" t="s">
        <v>343</v>
      </c>
      <c r="Z247" s="50" t="s">
        <v>335</v>
      </c>
      <c r="AA247" s="51" t="s">
        <v>340</v>
      </c>
      <c r="AB247" s="51" t="s">
        <v>342</v>
      </c>
      <c r="AC247" s="51" t="s">
        <v>343</v>
      </c>
      <c r="AG247" s="48"/>
      <c r="AL247" s="48">
        <f>SUM(AL245:AL246)</f>
        <v>-35</v>
      </c>
      <c r="AO247" t="s">
        <v>570</v>
      </c>
      <c r="AP247" s="21">
        <v>45334</v>
      </c>
      <c r="AQ247" s="48">
        <v>-23.68</v>
      </c>
      <c r="AT247" s="50" t="s">
        <v>333</v>
      </c>
      <c r="AU247" s="51" t="s">
        <v>340</v>
      </c>
      <c r="AV247" s="51" t="s">
        <v>342</v>
      </c>
      <c r="AW247" s="51" t="s">
        <v>343</v>
      </c>
      <c r="AY247" t="s">
        <v>1431</v>
      </c>
      <c r="AZ247" s="21">
        <v>45406</v>
      </c>
      <c r="BA247" s="48">
        <v>-84.03</v>
      </c>
      <c r="BD247" s="38" t="s">
        <v>570</v>
      </c>
      <c r="BE247" s="21">
        <v>45442</v>
      </c>
      <c r="BF247" s="48">
        <v>-33.44</v>
      </c>
    </row>
    <row r="248" spans="1:59" ht="15" thickBot="1" x14ac:dyDescent="0.4">
      <c r="A248" t="s">
        <v>1027</v>
      </c>
      <c r="B248" s="21">
        <v>45105</v>
      </c>
      <c r="C248" s="49">
        <v>-81.13</v>
      </c>
      <c r="F248" t="s">
        <v>911</v>
      </c>
      <c r="G248" s="21">
        <v>45108</v>
      </c>
      <c r="H248" s="48">
        <v>-120</v>
      </c>
      <c r="K248" t="s">
        <v>1149</v>
      </c>
      <c r="L248" s="21">
        <v>45163</v>
      </c>
      <c r="M248" s="48">
        <v>-60</v>
      </c>
      <c r="N248" t="s">
        <v>560</v>
      </c>
      <c r="Q248" s="21"/>
      <c r="R248" s="49"/>
      <c r="V248" s="21"/>
      <c r="W248" s="48"/>
      <c r="Z248" t="s">
        <v>428</v>
      </c>
      <c r="AA248" s="21">
        <v>45240</v>
      </c>
      <c r="AB248" s="48">
        <v>-32</v>
      </c>
      <c r="AG248" s="48"/>
      <c r="AL248" s="48"/>
      <c r="AO248" t="s">
        <v>570</v>
      </c>
      <c r="AP248" s="21">
        <v>45337</v>
      </c>
      <c r="AQ248" s="48">
        <v>-29.49</v>
      </c>
      <c r="AT248" t="s">
        <v>491</v>
      </c>
      <c r="AU248" s="21">
        <v>45354</v>
      </c>
      <c r="AV248" s="48">
        <v>-11.32</v>
      </c>
      <c r="AY248" t="s">
        <v>1432</v>
      </c>
      <c r="AZ248" s="21">
        <v>45407</v>
      </c>
      <c r="BA248" s="48">
        <f>-22.5</f>
        <v>-22.5</v>
      </c>
      <c r="BD248" s="38" t="s">
        <v>389</v>
      </c>
      <c r="BE248" s="21">
        <v>45443</v>
      </c>
      <c r="BF248" s="48">
        <v>-7.88</v>
      </c>
    </row>
    <row r="249" spans="1:59" ht="15" thickBot="1" x14ac:dyDescent="0.4">
      <c r="B249" s="2"/>
      <c r="C249" s="48">
        <f>SUM(C229:C248)</f>
        <v>-608.86</v>
      </c>
      <c r="G249" s="2"/>
      <c r="H249" s="55">
        <f>SUM(H247:H248)</f>
        <v>-120</v>
      </c>
      <c r="K249" t="s">
        <v>1165</v>
      </c>
      <c r="L249" s="21">
        <v>45168</v>
      </c>
      <c r="M249" s="48">
        <f>-40</f>
        <v>-40</v>
      </c>
      <c r="Q249" s="2"/>
      <c r="R249" s="48">
        <f>SUM(R247:R248)</f>
        <v>0</v>
      </c>
      <c r="V249" s="21"/>
      <c r="W249" s="49"/>
      <c r="Z249" s="35" t="s">
        <v>1239</v>
      </c>
      <c r="AA249" s="21">
        <v>45250</v>
      </c>
      <c r="AB249" s="48">
        <v>-405.95</v>
      </c>
      <c r="AE249" s="50" t="s">
        <v>337</v>
      </c>
      <c r="AF249" s="51" t="s">
        <v>340</v>
      </c>
      <c r="AG249" s="51" t="s">
        <v>342</v>
      </c>
      <c r="AH249" s="51" t="s">
        <v>343</v>
      </c>
      <c r="AL249" s="48"/>
      <c r="AO249" t="s">
        <v>570</v>
      </c>
      <c r="AP249" s="21">
        <v>45339</v>
      </c>
      <c r="AQ249" s="48">
        <v>-20</v>
      </c>
      <c r="AT249" t="s">
        <v>503</v>
      </c>
      <c r="AU249" s="21">
        <v>45355</v>
      </c>
      <c r="AV249" s="48">
        <v>-30</v>
      </c>
      <c r="AY249" t="s">
        <v>896</v>
      </c>
      <c r="AZ249" s="21">
        <v>45408</v>
      </c>
      <c r="BA249" s="48">
        <f>-24.37</f>
        <v>-24.37</v>
      </c>
      <c r="BD249" s="38" t="s">
        <v>570</v>
      </c>
      <c r="BE249" s="21">
        <v>45443</v>
      </c>
      <c r="BF249" s="48">
        <v>-25.79</v>
      </c>
    </row>
    <row r="250" spans="1:59" ht="15" thickBot="1" x14ac:dyDescent="0.4">
      <c r="L250" s="2"/>
      <c r="M250" s="55">
        <f>SUM(M247:M249)</f>
        <v>-152</v>
      </c>
      <c r="Q250" s="2"/>
      <c r="R250" s="48"/>
      <c r="V250" s="2"/>
      <c r="W250" s="55">
        <f>SUM(W248:W249)</f>
        <v>0</v>
      </c>
      <c r="Z250" s="38"/>
      <c r="AB250" s="49"/>
      <c r="AF250" s="21"/>
      <c r="AG250" s="48"/>
      <c r="AJ250" s="50" t="s">
        <v>337</v>
      </c>
      <c r="AK250" s="51" t="s">
        <v>340</v>
      </c>
      <c r="AL250" s="51" t="s">
        <v>342</v>
      </c>
      <c r="AM250" s="51" t="s">
        <v>343</v>
      </c>
      <c r="AO250" t="s">
        <v>389</v>
      </c>
      <c r="AP250" s="21">
        <v>45344</v>
      </c>
      <c r="AQ250" s="48">
        <v>-7.88</v>
      </c>
      <c r="AT250" t="s">
        <v>958</v>
      </c>
      <c r="AU250" s="21">
        <v>45355</v>
      </c>
      <c r="AV250" s="48">
        <v>-33</v>
      </c>
      <c r="AY250" t="s">
        <v>389</v>
      </c>
      <c r="AZ250" s="21">
        <v>45411</v>
      </c>
      <c r="BA250" s="48">
        <v>-7.88</v>
      </c>
      <c r="BE250" s="2"/>
      <c r="BF250" s="55">
        <f>SUM(BF233:BF249)</f>
        <v>-534.65</v>
      </c>
    </row>
    <row r="251" spans="1:59" ht="15" thickBot="1" x14ac:dyDescent="0.4">
      <c r="Q251" s="2"/>
      <c r="R251" s="48"/>
      <c r="AA251" s="2"/>
      <c r="AB251" s="48">
        <f>SUM(AB248:AB250)</f>
        <v>-437.95</v>
      </c>
      <c r="AF251" s="21"/>
      <c r="AG251" s="49"/>
      <c r="AK251" s="21"/>
      <c r="AL251" s="48"/>
      <c r="AO251" t="s">
        <v>570</v>
      </c>
      <c r="AP251" s="21">
        <v>45347</v>
      </c>
      <c r="AQ251" s="48">
        <v>-14</v>
      </c>
      <c r="AT251" t="s">
        <v>1417</v>
      </c>
      <c r="AU251" s="21">
        <v>45356</v>
      </c>
      <c r="AV251" s="48">
        <v>-32.19</v>
      </c>
      <c r="AY251" t="s">
        <v>570</v>
      </c>
      <c r="AZ251" s="21">
        <v>45411</v>
      </c>
      <c r="BA251" s="49">
        <v>-47</v>
      </c>
    </row>
    <row r="252" spans="1:59" ht="15" thickBot="1" x14ac:dyDescent="0.4">
      <c r="A252" s="50" t="s">
        <v>333</v>
      </c>
      <c r="B252" s="51" t="s">
        <v>340</v>
      </c>
      <c r="C252" s="51" t="s">
        <v>342</v>
      </c>
      <c r="D252" s="51" t="s">
        <v>343</v>
      </c>
      <c r="F252" s="50" t="s">
        <v>335</v>
      </c>
      <c r="G252" s="51" t="s">
        <v>340</v>
      </c>
      <c r="H252" s="51" t="s">
        <v>342</v>
      </c>
      <c r="I252" s="51" t="s">
        <v>343</v>
      </c>
      <c r="P252" s="50" t="s">
        <v>1218</v>
      </c>
      <c r="Q252" s="51" t="s">
        <v>340</v>
      </c>
      <c r="R252" s="51" t="s">
        <v>342</v>
      </c>
      <c r="S252" s="51" t="s">
        <v>343</v>
      </c>
      <c r="AA252" s="2"/>
      <c r="AB252" s="48"/>
      <c r="AG252" s="48">
        <f>SUM(AG250:AG251)</f>
        <v>0</v>
      </c>
      <c r="AK252" s="21"/>
      <c r="AL252" s="49"/>
      <c r="AO252" t="s">
        <v>570</v>
      </c>
      <c r="AP252" s="21">
        <v>45347</v>
      </c>
      <c r="AQ252" s="48">
        <v>-13</v>
      </c>
      <c r="AT252" t="s">
        <v>958</v>
      </c>
      <c r="AU252" s="21">
        <v>45357</v>
      </c>
      <c r="AV252" s="48">
        <v>-41.5</v>
      </c>
      <c r="AZ252" s="2"/>
      <c r="BA252" s="48">
        <f>SUM(BA229:BA251)</f>
        <v>-642.93999999999994</v>
      </c>
    </row>
    <row r="253" spans="1:59" x14ac:dyDescent="0.35">
      <c r="A253" t="s">
        <v>872</v>
      </c>
      <c r="B253" s="2"/>
      <c r="C253" s="48"/>
      <c r="F253" t="s">
        <v>1032</v>
      </c>
      <c r="G253" s="21">
        <v>45113</v>
      </c>
      <c r="H253" s="48">
        <v>-33.229999999999997</v>
      </c>
      <c r="K253" s="50" t="s">
        <v>335</v>
      </c>
      <c r="L253" s="51" t="s">
        <v>340</v>
      </c>
      <c r="M253" s="51" t="s">
        <v>342</v>
      </c>
      <c r="N253" s="51" t="s">
        <v>343</v>
      </c>
      <c r="P253" t="s">
        <v>1385</v>
      </c>
      <c r="Q253" s="21">
        <v>45171</v>
      </c>
      <c r="R253" s="48">
        <v>-42.19</v>
      </c>
      <c r="T253" s="48"/>
      <c r="U253" s="50" t="s">
        <v>335</v>
      </c>
      <c r="V253" s="51" t="s">
        <v>340</v>
      </c>
      <c r="W253" s="51" t="s">
        <v>342</v>
      </c>
      <c r="X253" s="51" t="s">
        <v>343</v>
      </c>
      <c r="AA253" s="2"/>
      <c r="AB253" s="48"/>
      <c r="AG253" s="48"/>
      <c r="AL253" s="48">
        <f>SUM(AL251:AL252)</f>
        <v>0</v>
      </c>
      <c r="AO253" t="s">
        <v>570</v>
      </c>
      <c r="AP253" s="21">
        <v>45348</v>
      </c>
      <c r="AQ253" s="48">
        <f>--29.49</f>
        <v>29.49</v>
      </c>
      <c r="AT253" t="s">
        <v>570</v>
      </c>
      <c r="AU253" s="21">
        <v>45358</v>
      </c>
      <c r="AV253" s="48">
        <v>-39.69</v>
      </c>
      <c r="BD253" s="157" t="s">
        <v>333</v>
      </c>
      <c r="BE253" s="51" t="s">
        <v>340</v>
      </c>
      <c r="BF253" s="51" t="s">
        <v>342</v>
      </c>
      <c r="BG253" s="51" t="s">
        <v>343</v>
      </c>
    </row>
    <row r="254" spans="1:59" ht="15" thickBot="1" x14ac:dyDescent="0.4">
      <c r="A254" t="s">
        <v>911</v>
      </c>
      <c r="B254" s="21">
        <v>45078</v>
      </c>
      <c r="C254" s="48">
        <v>-120</v>
      </c>
      <c r="F254" t="s">
        <v>1043</v>
      </c>
      <c r="G254" s="21">
        <v>45118</v>
      </c>
      <c r="H254" s="48">
        <v>-13</v>
      </c>
      <c r="K254" t="s">
        <v>1107</v>
      </c>
      <c r="L254" s="21">
        <v>45153</v>
      </c>
      <c r="M254" s="48">
        <v>-53.99</v>
      </c>
      <c r="P254" t="s">
        <v>1385</v>
      </c>
      <c r="Q254" s="21">
        <v>45175</v>
      </c>
      <c r="R254" s="48">
        <v>-52.73</v>
      </c>
      <c r="U254" s="35" t="s">
        <v>1171</v>
      </c>
      <c r="V254" s="21">
        <v>45203</v>
      </c>
      <c r="W254" s="48">
        <v>-40</v>
      </c>
      <c r="Z254" s="50" t="s">
        <v>337</v>
      </c>
      <c r="AA254" s="51" t="s">
        <v>340</v>
      </c>
      <c r="AB254" s="51" t="s">
        <v>342</v>
      </c>
      <c r="AC254" s="51" t="s">
        <v>343</v>
      </c>
      <c r="AG254" s="48"/>
      <c r="AL254" s="48"/>
      <c r="AP254" s="21"/>
      <c r="AQ254" s="49"/>
      <c r="AT254" t="s">
        <v>503</v>
      </c>
      <c r="AU254" s="21">
        <v>45358</v>
      </c>
      <c r="AV254" s="48">
        <v>-18</v>
      </c>
      <c r="BD254" s="38" t="s">
        <v>958</v>
      </c>
      <c r="BE254" s="21">
        <v>45414</v>
      </c>
      <c r="BF254" s="48">
        <v>-17.5</v>
      </c>
    </row>
    <row r="255" spans="1:59" ht="15" thickBot="1" x14ac:dyDescent="0.4">
      <c r="B255" s="2"/>
      <c r="C255" s="55">
        <f>SUM(C253:C254)</f>
        <v>-120</v>
      </c>
      <c r="F255" t="s">
        <v>1032</v>
      </c>
      <c r="G255" s="21">
        <v>45135</v>
      </c>
      <c r="H255" s="48">
        <v>-35.979999999999997</v>
      </c>
      <c r="K255" t="s">
        <v>1108</v>
      </c>
      <c r="L255" s="21">
        <v>45155</v>
      </c>
      <c r="M255" s="48">
        <v>-14.19</v>
      </c>
      <c r="N255" t="s">
        <v>1109</v>
      </c>
      <c r="P255" t="s">
        <v>1385</v>
      </c>
      <c r="Q255" s="21">
        <v>45181</v>
      </c>
      <c r="R255" s="48">
        <v>-42.19</v>
      </c>
      <c r="W255" s="48"/>
      <c r="AA255" s="21"/>
      <c r="AB255" s="48"/>
      <c r="AE255" s="50" t="s">
        <v>1218</v>
      </c>
      <c r="AF255" s="51" t="s">
        <v>340</v>
      </c>
      <c r="AG255" s="51" t="s">
        <v>342</v>
      </c>
      <c r="AH255" s="51" t="s">
        <v>343</v>
      </c>
      <c r="AL255" s="48"/>
      <c r="AQ255" s="48">
        <f>SUM(AQ234:AQ254)</f>
        <v>-447.88</v>
      </c>
      <c r="AT255" t="s">
        <v>958</v>
      </c>
      <c r="AU255" s="21">
        <v>45359</v>
      </c>
      <c r="AV255" s="48">
        <v>-16</v>
      </c>
      <c r="AY255" s="50" t="s">
        <v>333</v>
      </c>
      <c r="AZ255" s="51" t="s">
        <v>340</v>
      </c>
      <c r="BA255" s="51" t="s">
        <v>342</v>
      </c>
      <c r="BB255" s="51" t="s">
        <v>343</v>
      </c>
      <c r="BD255" s="38" t="s">
        <v>958</v>
      </c>
      <c r="BE255" s="21">
        <v>45416</v>
      </c>
      <c r="BF255" s="48">
        <v>-25</v>
      </c>
    </row>
    <row r="256" spans="1:59" ht="15" thickBot="1" x14ac:dyDescent="0.4">
      <c r="G256" s="2"/>
      <c r="H256" s="55">
        <f>SUM(H253:H255)</f>
        <v>-82.21</v>
      </c>
      <c r="K256" t="s">
        <v>1107</v>
      </c>
      <c r="L256" s="21">
        <v>45158</v>
      </c>
      <c r="M256" s="48">
        <v>-12</v>
      </c>
      <c r="P256" t="s">
        <v>1385</v>
      </c>
      <c r="Q256" s="21">
        <v>45187</v>
      </c>
      <c r="R256" s="48">
        <v>-42.19</v>
      </c>
      <c r="V256" s="2"/>
      <c r="W256" s="55">
        <f>SUM(W254:W255)</f>
        <v>-40</v>
      </c>
      <c r="Y256" s="21"/>
      <c r="AA256" s="21"/>
      <c r="AB256" s="49"/>
      <c r="AE256" t="s">
        <v>1385</v>
      </c>
      <c r="AF256" s="21">
        <v>45263</v>
      </c>
      <c r="AG256" s="48">
        <v>-30.57</v>
      </c>
      <c r="AJ256" s="50" t="s">
        <v>1218</v>
      </c>
      <c r="AK256" s="51" t="s">
        <v>340</v>
      </c>
      <c r="AL256" s="51" t="s">
        <v>342</v>
      </c>
      <c r="AM256" s="51" t="s">
        <v>343</v>
      </c>
      <c r="AT256" t="s">
        <v>491</v>
      </c>
      <c r="AU256" s="21">
        <v>45361</v>
      </c>
      <c r="AV256" s="48">
        <v>-11.24</v>
      </c>
      <c r="AY256" t="s">
        <v>491</v>
      </c>
      <c r="AZ256" s="21">
        <v>45388</v>
      </c>
      <c r="BA256" s="48">
        <v>-13.4</v>
      </c>
      <c r="BD256" s="38" t="s">
        <v>958</v>
      </c>
      <c r="BE256" s="21">
        <v>45421</v>
      </c>
      <c r="BF256" s="48">
        <v>-17.5</v>
      </c>
    </row>
    <row r="257" spans="1:59" x14ac:dyDescent="0.35">
      <c r="G257" s="2"/>
      <c r="H257" s="48"/>
      <c r="K257" t="s">
        <v>1114</v>
      </c>
      <c r="L257" s="21">
        <v>45160</v>
      </c>
      <c r="M257" s="48">
        <v>-64.28</v>
      </c>
      <c r="N257" t="s">
        <v>560</v>
      </c>
      <c r="P257" t="s">
        <v>1385</v>
      </c>
      <c r="Q257" s="21">
        <v>45188</v>
      </c>
      <c r="R257" s="48">
        <v>-31.63</v>
      </c>
      <c r="V257" s="2"/>
      <c r="W257" s="48"/>
      <c r="AA257" s="2"/>
      <c r="AB257" s="48">
        <f>SUM(AB255:AB256)</f>
        <v>0</v>
      </c>
      <c r="AE257" t="s">
        <v>1385</v>
      </c>
      <c r="AF257" s="21">
        <v>45268</v>
      </c>
      <c r="AG257" s="48">
        <v>-42.19</v>
      </c>
      <c r="AJ257" t="s">
        <v>1385</v>
      </c>
      <c r="AK257" s="21">
        <v>45296</v>
      </c>
      <c r="AL257" s="48">
        <v>-10.54</v>
      </c>
      <c r="AT257" t="s">
        <v>491</v>
      </c>
      <c r="AU257" s="21">
        <v>45361</v>
      </c>
      <c r="AV257" s="48">
        <v>-11.32</v>
      </c>
      <c r="AY257" t="s">
        <v>491</v>
      </c>
      <c r="AZ257" s="21">
        <v>45388</v>
      </c>
      <c r="BA257" s="48">
        <v>-11.32</v>
      </c>
      <c r="BD257" s="38" t="s">
        <v>1433</v>
      </c>
      <c r="BE257" s="21">
        <v>45422</v>
      </c>
      <c r="BF257" s="48">
        <v>-10</v>
      </c>
    </row>
    <row r="258" spans="1:59" x14ac:dyDescent="0.35">
      <c r="A258" s="50" t="s">
        <v>335</v>
      </c>
      <c r="B258" s="51" t="s">
        <v>340</v>
      </c>
      <c r="C258" s="51" t="s">
        <v>342</v>
      </c>
      <c r="D258" s="51" t="s">
        <v>343</v>
      </c>
      <c r="G258" s="2"/>
      <c r="H258" s="48"/>
      <c r="K258" t="s">
        <v>1115</v>
      </c>
      <c r="L258" s="21">
        <v>45161</v>
      </c>
      <c r="M258" s="48">
        <v>-19.95</v>
      </c>
      <c r="N258" t="s">
        <v>560</v>
      </c>
      <c r="P258" t="s">
        <v>1385</v>
      </c>
      <c r="Q258" s="21">
        <v>45191</v>
      </c>
      <c r="R258" s="48">
        <v>-17.739999999999998</v>
      </c>
      <c r="V258" s="2"/>
      <c r="W258" s="48"/>
      <c r="AA258" s="2"/>
      <c r="AB258" s="48"/>
      <c r="AE258" t="s">
        <v>1385</v>
      </c>
      <c r="AF258" s="21">
        <v>45274</v>
      </c>
      <c r="AG258" s="48">
        <v>-30.57</v>
      </c>
      <c r="AJ258" t="s">
        <v>1385</v>
      </c>
      <c r="AK258" s="21">
        <v>45297</v>
      </c>
      <c r="AL258" s="48">
        <v>-42.19</v>
      </c>
      <c r="AO258" s="50" t="s">
        <v>333</v>
      </c>
      <c r="AP258" s="51" t="s">
        <v>340</v>
      </c>
      <c r="AQ258" s="51" t="s">
        <v>342</v>
      </c>
      <c r="AR258" s="51" t="s">
        <v>343</v>
      </c>
      <c r="AT258" t="s">
        <v>491</v>
      </c>
      <c r="AU258" s="21">
        <v>45361</v>
      </c>
      <c r="AV258" s="48">
        <v>-20.64</v>
      </c>
      <c r="AY258" t="s">
        <v>503</v>
      </c>
      <c r="AZ258" s="21">
        <v>45388</v>
      </c>
      <c r="BA258" s="48">
        <v>-13</v>
      </c>
      <c r="BD258" s="38" t="s">
        <v>491</v>
      </c>
      <c r="BE258" s="21">
        <v>45423</v>
      </c>
      <c r="BF258" s="48">
        <v>-40.44</v>
      </c>
    </row>
    <row r="259" spans="1:59" ht="15" thickBot="1" x14ac:dyDescent="0.4">
      <c r="A259" t="s">
        <v>1020</v>
      </c>
      <c r="B259" s="21">
        <v>45093</v>
      </c>
      <c r="C259" s="48">
        <v>-75.94</v>
      </c>
      <c r="F259" s="50" t="s">
        <v>337</v>
      </c>
      <c r="G259" s="51" t="s">
        <v>340</v>
      </c>
      <c r="H259" s="51" t="s">
        <v>342</v>
      </c>
      <c r="I259" s="51" t="s">
        <v>343</v>
      </c>
      <c r="K259" t="s">
        <v>1119</v>
      </c>
      <c r="L259" s="21">
        <v>45162</v>
      </c>
      <c r="M259" s="48">
        <v>-47.31</v>
      </c>
      <c r="N259" t="s">
        <v>560</v>
      </c>
      <c r="P259" t="s">
        <v>1385</v>
      </c>
      <c r="Q259" s="21" t="s">
        <v>1170</v>
      </c>
      <c r="R259" s="48">
        <v>-52.74</v>
      </c>
      <c r="U259" s="50" t="s">
        <v>337</v>
      </c>
      <c r="V259" s="51" t="s">
        <v>340</v>
      </c>
      <c r="W259" s="51" t="s">
        <v>342</v>
      </c>
      <c r="X259" s="51" t="s">
        <v>343</v>
      </c>
      <c r="AA259" s="2"/>
      <c r="AB259" s="48"/>
      <c r="AE259" t="s">
        <v>1385</v>
      </c>
      <c r="AF259" s="21">
        <v>45279</v>
      </c>
      <c r="AG259" s="48">
        <v>-42.19</v>
      </c>
      <c r="AJ259" t="s">
        <v>1385</v>
      </c>
      <c r="AK259" s="21">
        <v>45301</v>
      </c>
      <c r="AL259" s="48">
        <v>-30.57</v>
      </c>
      <c r="AO259" t="s">
        <v>1399</v>
      </c>
      <c r="AP259" s="21">
        <v>45325</v>
      </c>
      <c r="AQ259" s="48">
        <v>-52</v>
      </c>
      <c r="AT259" t="s">
        <v>491</v>
      </c>
      <c r="AU259" s="21">
        <v>45361</v>
      </c>
      <c r="AV259" s="48">
        <v>-38.200000000000003</v>
      </c>
      <c r="AY259" t="s">
        <v>491</v>
      </c>
      <c r="AZ259" s="21">
        <v>45389</v>
      </c>
      <c r="BA259" s="48">
        <v>-25.8</v>
      </c>
      <c r="BD259" s="38" t="s">
        <v>491</v>
      </c>
      <c r="BE259" s="21">
        <v>45424</v>
      </c>
      <c r="BF259" s="48">
        <v>-20.6</v>
      </c>
    </row>
    <row r="260" spans="1:59" x14ac:dyDescent="0.35">
      <c r="A260" t="s">
        <v>1024</v>
      </c>
      <c r="B260" s="21">
        <v>45101</v>
      </c>
      <c r="C260" s="48">
        <v>-34.17</v>
      </c>
      <c r="G260" s="21"/>
      <c r="H260" s="48"/>
      <c r="K260" t="s">
        <v>1151</v>
      </c>
      <c r="L260" s="21">
        <v>45163</v>
      </c>
      <c r="M260" s="48">
        <v>-117.59</v>
      </c>
      <c r="N260" t="s">
        <v>1150</v>
      </c>
      <c r="Q260" s="2"/>
      <c r="R260" s="55">
        <f>SUM(R253:R259)</f>
        <v>-281.40999999999997</v>
      </c>
      <c r="U260" t="s">
        <v>1172</v>
      </c>
      <c r="V260" s="19">
        <v>45212</v>
      </c>
      <c r="W260">
        <v>-28.18</v>
      </c>
      <c r="X260" t="s">
        <v>1173</v>
      </c>
      <c r="Z260" s="50" t="s">
        <v>1218</v>
      </c>
      <c r="AA260" s="51" t="s">
        <v>340</v>
      </c>
      <c r="AB260" s="51" t="s">
        <v>342</v>
      </c>
      <c r="AC260" s="51" t="s">
        <v>343</v>
      </c>
      <c r="AE260" t="s">
        <v>1385</v>
      </c>
      <c r="AF260" s="21">
        <v>45284</v>
      </c>
      <c r="AG260" s="48">
        <v>-102.12</v>
      </c>
      <c r="AJ260" t="s">
        <v>1385</v>
      </c>
      <c r="AK260" s="21">
        <v>45308</v>
      </c>
      <c r="AL260" s="48">
        <v>-42.19</v>
      </c>
      <c r="AO260" t="s">
        <v>1400</v>
      </c>
      <c r="AP260" s="21">
        <v>45326</v>
      </c>
      <c r="AQ260" s="48">
        <v>-65.17</v>
      </c>
      <c r="AT260" t="s">
        <v>1417</v>
      </c>
      <c r="AU260" s="21">
        <v>45362</v>
      </c>
      <c r="AV260" s="48">
        <f>-53.01</f>
        <v>-53.01</v>
      </c>
      <c r="AY260" t="s">
        <v>958</v>
      </c>
      <c r="AZ260" s="21">
        <v>45393</v>
      </c>
      <c r="BA260" s="48">
        <v>-11</v>
      </c>
      <c r="BD260" s="38" t="s">
        <v>491</v>
      </c>
      <c r="BE260" s="21">
        <v>45424</v>
      </c>
      <c r="BF260" s="48">
        <v>-16.48</v>
      </c>
    </row>
    <row r="261" spans="1:59" ht="15" thickBot="1" x14ac:dyDescent="0.4">
      <c r="A261" t="s">
        <v>1024</v>
      </c>
      <c r="B261" s="21">
        <v>45101</v>
      </c>
      <c r="C261" s="48">
        <v>-14.45</v>
      </c>
      <c r="G261" s="21"/>
      <c r="H261" s="49"/>
      <c r="K261" t="s">
        <v>1163</v>
      </c>
      <c r="L261" s="21">
        <v>45164</v>
      </c>
      <c r="M261" s="48">
        <v>-125.09</v>
      </c>
      <c r="N261" t="s">
        <v>560</v>
      </c>
      <c r="V261" s="21"/>
      <c r="W261" s="49"/>
      <c r="Z261" t="s">
        <v>1385</v>
      </c>
      <c r="AA261" s="21">
        <v>45240</v>
      </c>
      <c r="AB261" s="48">
        <v>-52.73</v>
      </c>
      <c r="AF261" s="21"/>
      <c r="AG261" s="49"/>
      <c r="AJ261" t="s">
        <v>1385</v>
      </c>
      <c r="AK261" s="21">
        <v>45314</v>
      </c>
      <c r="AL261" s="48">
        <v>-1.99</v>
      </c>
      <c r="AO261" t="s">
        <v>1403</v>
      </c>
      <c r="AP261" s="21">
        <v>45328</v>
      </c>
      <c r="AQ261" s="48">
        <v>-4.54</v>
      </c>
      <c r="AT261" t="s">
        <v>958</v>
      </c>
      <c r="AU261" s="21">
        <v>45364</v>
      </c>
      <c r="AV261" s="48">
        <v>-25</v>
      </c>
      <c r="AY261" t="s">
        <v>1292</v>
      </c>
      <c r="AZ261" s="21">
        <v>45395</v>
      </c>
      <c r="BA261" s="48">
        <v>-7</v>
      </c>
      <c r="BD261" s="38" t="s">
        <v>958</v>
      </c>
      <c r="BE261" s="21">
        <v>45427</v>
      </c>
      <c r="BF261" s="48">
        <v>-15.5</v>
      </c>
    </row>
    <row r="262" spans="1:59" ht="15" thickBot="1" x14ac:dyDescent="0.4">
      <c r="B262" s="2"/>
      <c r="C262" s="55">
        <f>SUM(C259:C261)</f>
        <v>-124.56</v>
      </c>
      <c r="G262" s="2"/>
      <c r="H262" s="55">
        <f>SUM(H260:H261)</f>
        <v>0</v>
      </c>
      <c r="K262" t="s">
        <v>1164</v>
      </c>
      <c r="L262" s="21">
        <v>45164</v>
      </c>
      <c r="M262" s="48">
        <v>-8.41</v>
      </c>
      <c r="N262" t="s">
        <v>560</v>
      </c>
      <c r="V262" s="2"/>
      <c r="W262" s="48">
        <f>SUM(W260:W261)</f>
        <v>-28.18</v>
      </c>
      <c r="Z262" t="s">
        <v>1385</v>
      </c>
      <c r="AA262" s="21">
        <v>45248</v>
      </c>
      <c r="AB262" s="48">
        <v>-10.54</v>
      </c>
      <c r="AG262" s="48">
        <f>SUM(AG256:AG261)</f>
        <v>-247.64</v>
      </c>
      <c r="AJ262" t="s">
        <v>1385</v>
      </c>
      <c r="AK262" s="21">
        <v>45317</v>
      </c>
      <c r="AL262" s="48">
        <v>-30.57</v>
      </c>
      <c r="AO262" t="s">
        <v>1401</v>
      </c>
      <c r="AP262" s="21">
        <v>45326</v>
      </c>
      <c r="AQ262" s="48">
        <v>-144</v>
      </c>
      <c r="AT262" t="s">
        <v>958</v>
      </c>
      <c r="AU262" s="21">
        <v>45364</v>
      </c>
      <c r="AV262" s="48">
        <v>-11.85</v>
      </c>
      <c r="AY262" t="s">
        <v>1417</v>
      </c>
      <c r="AZ262" s="21">
        <v>45395</v>
      </c>
      <c r="BA262" s="48">
        <v>-14.22</v>
      </c>
      <c r="BD262" s="38" t="s">
        <v>491</v>
      </c>
      <c r="BE262" s="21">
        <v>45431</v>
      </c>
      <c r="BF262" s="48">
        <v>-26</v>
      </c>
    </row>
    <row r="263" spans="1:59" ht="15" thickBot="1" x14ac:dyDescent="0.4">
      <c r="B263" s="2"/>
      <c r="C263" s="48"/>
      <c r="G263" s="2"/>
      <c r="H263" s="48"/>
      <c r="L263" s="2"/>
      <c r="M263" s="55">
        <f>SUM(M254:M262)</f>
        <v>-462.81</v>
      </c>
      <c r="P263" s="50" t="s">
        <v>442</v>
      </c>
      <c r="Q263" s="51" t="s">
        <v>340</v>
      </c>
      <c r="R263" s="51" t="s">
        <v>342</v>
      </c>
      <c r="S263" s="51" t="s">
        <v>343</v>
      </c>
      <c r="V263" s="2"/>
      <c r="W263" s="48"/>
      <c r="Z263" t="s">
        <v>1385</v>
      </c>
      <c r="AA263" s="21">
        <v>45251</v>
      </c>
      <c r="AB263" s="48">
        <v>-42.19</v>
      </c>
      <c r="AK263" s="21"/>
      <c r="AL263" s="49"/>
      <c r="AO263" t="s">
        <v>1404</v>
      </c>
      <c r="AP263" s="21">
        <v>45328</v>
      </c>
      <c r="AQ263" s="48">
        <v>-127.36</v>
      </c>
      <c r="AT263" t="s">
        <v>1417</v>
      </c>
      <c r="AU263" s="21">
        <v>45369</v>
      </c>
      <c r="AV263" s="48">
        <v>-9.33</v>
      </c>
      <c r="AY263" t="s">
        <v>491</v>
      </c>
      <c r="AZ263" s="21">
        <v>45396</v>
      </c>
      <c r="BA263" s="48">
        <v>-20.68</v>
      </c>
      <c r="BD263" s="38" t="s">
        <v>491</v>
      </c>
      <c r="BE263" s="21">
        <v>45431</v>
      </c>
      <c r="BF263" s="48">
        <v>-15.48</v>
      </c>
    </row>
    <row r="264" spans="1:59" x14ac:dyDescent="0.35">
      <c r="B264" s="2"/>
      <c r="C264" s="48"/>
      <c r="G264" s="2"/>
      <c r="H264" s="48"/>
      <c r="L264" s="2"/>
      <c r="M264" s="48"/>
      <c r="P264" t="s">
        <v>1168</v>
      </c>
      <c r="Q264" s="21">
        <v>45181</v>
      </c>
      <c r="R264" s="48">
        <v>-26.88</v>
      </c>
      <c r="V264" s="2"/>
      <c r="W264" s="48"/>
      <c r="Z264" t="s">
        <v>1385</v>
      </c>
      <c r="AA264" s="21">
        <v>45252</v>
      </c>
      <c r="AB264" s="48">
        <v>20.03</v>
      </c>
      <c r="AL264" s="55">
        <f>SUM(AL257:AL263)</f>
        <v>-158.04999999999998</v>
      </c>
      <c r="AO264" t="s">
        <v>1405</v>
      </c>
      <c r="AP264" s="21">
        <v>45328</v>
      </c>
      <c r="AQ264" s="48">
        <v>-32.5</v>
      </c>
      <c r="AT264" t="s">
        <v>1417</v>
      </c>
      <c r="AU264" s="21">
        <v>45369</v>
      </c>
      <c r="AV264" s="48">
        <v>-18.47</v>
      </c>
      <c r="AY264" t="s">
        <v>958</v>
      </c>
      <c r="AZ264" s="21">
        <v>45400</v>
      </c>
      <c r="BA264" s="48">
        <v>-19</v>
      </c>
      <c r="BD264" s="38" t="s">
        <v>491</v>
      </c>
      <c r="BE264" s="21">
        <v>45438</v>
      </c>
      <c r="BF264" s="48">
        <v>-28.96</v>
      </c>
    </row>
    <row r="265" spans="1:59" x14ac:dyDescent="0.35">
      <c r="A265" s="50" t="s">
        <v>337</v>
      </c>
      <c r="B265" s="51" t="s">
        <v>340</v>
      </c>
      <c r="C265" s="51" t="s">
        <v>342</v>
      </c>
      <c r="D265" s="51" t="s">
        <v>343</v>
      </c>
      <c r="F265" s="50" t="s">
        <v>1218</v>
      </c>
      <c r="G265" s="51" t="s">
        <v>340</v>
      </c>
      <c r="H265" s="51" t="s">
        <v>342</v>
      </c>
      <c r="I265" s="51" t="s">
        <v>343</v>
      </c>
      <c r="L265" s="2"/>
      <c r="M265" s="48"/>
      <c r="P265" t="s">
        <v>1169</v>
      </c>
      <c r="Q265" s="21">
        <v>45194</v>
      </c>
      <c r="R265" s="48">
        <v>-29</v>
      </c>
      <c r="U265" s="50" t="s">
        <v>1218</v>
      </c>
      <c r="V265" s="51" t="s">
        <v>340</v>
      </c>
      <c r="W265" s="51" t="s">
        <v>342</v>
      </c>
      <c r="X265" s="51" t="s">
        <v>343</v>
      </c>
      <c r="Z265" t="s">
        <v>1385</v>
      </c>
      <c r="AA265" s="21">
        <v>45258</v>
      </c>
      <c r="AB265" s="48">
        <v>-10.54</v>
      </c>
      <c r="AE265" s="50" t="s">
        <v>442</v>
      </c>
      <c r="AF265" s="51" t="s">
        <v>340</v>
      </c>
      <c r="AG265" s="51" t="s">
        <v>342</v>
      </c>
      <c r="AH265" s="51" t="s">
        <v>343</v>
      </c>
      <c r="AO265" t="s">
        <v>1401</v>
      </c>
      <c r="AP265" s="21">
        <v>45329</v>
      </c>
      <c r="AQ265" s="48">
        <f>-14</f>
        <v>-14</v>
      </c>
      <c r="AT265" t="s">
        <v>958</v>
      </c>
      <c r="AU265" s="21">
        <v>45373</v>
      </c>
      <c r="AV265" s="48">
        <v>-24.5</v>
      </c>
      <c r="AY265" t="s">
        <v>491</v>
      </c>
      <c r="AZ265" s="21">
        <v>45403</v>
      </c>
      <c r="BA265" s="48">
        <v>-40</v>
      </c>
      <c r="BD265" s="38" t="s">
        <v>491</v>
      </c>
      <c r="BE265" s="21">
        <v>45438</v>
      </c>
      <c r="BF265" s="48">
        <f>-57.84</f>
        <v>-57.84</v>
      </c>
    </row>
    <row r="266" spans="1:59" ht="15" thickBot="1" x14ac:dyDescent="0.4">
      <c r="B266" s="21"/>
      <c r="C266" s="48"/>
      <c r="F266" t="s">
        <v>1385</v>
      </c>
      <c r="G266" s="21">
        <v>44755</v>
      </c>
      <c r="H266" s="48">
        <v>-31.63</v>
      </c>
      <c r="K266" s="50" t="s">
        <v>337</v>
      </c>
      <c r="L266" s="51" t="s">
        <v>340</v>
      </c>
      <c r="M266" s="51" t="s">
        <v>342</v>
      </c>
      <c r="N266" s="51" t="s">
        <v>343</v>
      </c>
      <c r="P266" t="s">
        <v>1168</v>
      </c>
      <c r="Q266" s="21">
        <v>45197</v>
      </c>
      <c r="R266" s="48">
        <v>-13.44</v>
      </c>
      <c r="U266" t="s">
        <v>1385</v>
      </c>
      <c r="V266" s="21">
        <v>45203</v>
      </c>
      <c r="W266" s="48">
        <v>-31.63</v>
      </c>
      <c r="AA266" s="21"/>
      <c r="AB266" s="49"/>
      <c r="AE266" t="s">
        <v>1294</v>
      </c>
      <c r="AF266" s="21">
        <v>45266</v>
      </c>
      <c r="AG266" s="48">
        <v>-20.84</v>
      </c>
      <c r="AO266" t="s">
        <v>1404</v>
      </c>
      <c r="AP266" s="21">
        <v>45329</v>
      </c>
      <c r="AQ266" s="48">
        <v>-49.13</v>
      </c>
      <c r="AT266" t="s">
        <v>958</v>
      </c>
      <c r="AU266" s="21">
        <v>45374</v>
      </c>
      <c r="AV266" s="48">
        <v>-23.5</v>
      </c>
      <c r="AY266" t="s">
        <v>958</v>
      </c>
      <c r="AZ266" s="21">
        <v>45407</v>
      </c>
      <c r="BA266" s="48">
        <f>--17.5</f>
        <v>17.5</v>
      </c>
      <c r="BD266" s="38" t="s">
        <v>503</v>
      </c>
      <c r="BE266" s="21">
        <v>45442</v>
      </c>
      <c r="BF266" s="48">
        <v>-15</v>
      </c>
    </row>
    <row r="267" spans="1:59" ht="15" thickBot="1" x14ac:dyDescent="0.4">
      <c r="B267" s="21"/>
      <c r="C267" s="49"/>
      <c r="F267" t="s">
        <v>1385</v>
      </c>
      <c r="G267" s="21">
        <v>44760</v>
      </c>
      <c r="H267" s="48">
        <v>-42.19</v>
      </c>
      <c r="K267" t="s">
        <v>1166</v>
      </c>
      <c r="L267" s="21">
        <v>45161</v>
      </c>
      <c r="M267" s="48">
        <v>-300</v>
      </c>
      <c r="Q267" s="2"/>
      <c r="R267" s="55">
        <f>SUM(R264:R266)</f>
        <v>-69.319999999999993</v>
      </c>
      <c r="U267" t="s">
        <v>1385</v>
      </c>
      <c r="V267" s="21">
        <v>45204</v>
      </c>
      <c r="W267" s="48">
        <v>-52.74</v>
      </c>
      <c r="AA267" s="2"/>
      <c r="AB267" s="48">
        <f>SUM(AB261:AB266)</f>
        <v>-95.97</v>
      </c>
      <c r="AF267" s="21"/>
      <c r="AG267" s="49"/>
      <c r="AJ267" s="50" t="s">
        <v>442</v>
      </c>
      <c r="AK267" s="51" t="s">
        <v>340</v>
      </c>
      <c r="AL267" s="51" t="s">
        <v>342</v>
      </c>
      <c r="AM267" s="51" t="s">
        <v>343</v>
      </c>
      <c r="AO267" t="s">
        <v>1404</v>
      </c>
      <c r="AP267" s="21">
        <v>45329</v>
      </c>
      <c r="AQ267" s="48">
        <v>-34.51</v>
      </c>
      <c r="AT267" t="s">
        <v>958</v>
      </c>
      <c r="AU267" s="21">
        <v>45375</v>
      </c>
      <c r="AV267" s="48">
        <v>-19</v>
      </c>
      <c r="AY267" t="s">
        <v>503</v>
      </c>
      <c r="AZ267" s="21">
        <v>45407</v>
      </c>
      <c r="BA267" s="48">
        <v>-8</v>
      </c>
      <c r="BE267" s="2"/>
      <c r="BF267" s="55">
        <f>SUM(BF254:BF266)</f>
        <v>-306.29999999999995</v>
      </c>
    </row>
    <row r="268" spans="1:59" ht="15" thickBot="1" x14ac:dyDescent="0.4">
      <c r="B268" s="2"/>
      <c r="C268" s="48">
        <f>SUM(C266:C267)</f>
        <v>0</v>
      </c>
      <c r="F268" t="s">
        <v>1385</v>
      </c>
      <c r="G268" s="21">
        <v>44766</v>
      </c>
      <c r="H268" s="48">
        <v>-19.34</v>
      </c>
      <c r="L268" s="21"/>
      <c r="M268" s="49"/>
      <c r="U268" t="s">
        <v>1385</v>
      </c>
      <c r="V268" s="21">
        <v>45212</v>
      </c>
      <c r="W268" s="48">
        <v>-10.54</v>
      </c>
      <c r="AG268" s="48">
        <f>SUM(AG266:AG267)</f>
        <v>-20.84</v>
      </c>
      <c r="AJ268" t="s">
        <v>1388</v>
      </c>
      <c r="AK268" s="21">
        <v>45302</v>
      </c>
      <c r="AL268" s="48">
        <v>-244.82</v>
      </c>
      <c r="AO268" t="s">
        <v>1404</v>
      </c>
      <c r="AP268" s="21">
        <v>45329</v>
      </c>
      <c r="AQ268" s="48">
        <v>-13.28</v>
      </c>
      <c r="AT268" t="s">
        <v>958</v>
      </c>
      <c r="AU268" s="21">
        <v>45376</v>
      </c>
      <c r="AV268" s="48">
        <v>-13</v>
      </c>
      <c r="AY268" t="s">
        <v>1433</v>
      </c>
      <c r="AZ268" s="21">
        <v>45407</v>
      </c>
      <c r="BA268" s="48">
        <v>-10</v>
      </c>
    </row>
    <row r="269" spans="1:59" ht="15" thickBot="1" x14ac:dyDescent="0.4">
      <c r="B269" s="2"/>
      <c r="C269" s="48"/>
      <c r="F269" t="s">
        <v>1385</v>
      </c>
      <c r="G269" s="21">
        <v>44769</v>
      </c>
      <c r="H269" s="48">
        <v>-52.74</v>
      </c>
      <c r="L269" s="2"/>
      <c r="M269" s="48">
        <f>SUM(M267:M268)</f>
        <v>-300</v>
      </c>
      <c r="U269" t="s">
        <v>1385</v>
      </c>
      <c r="V269" s="21">
        <v>45213</v>
      </c>
      <c r="W269" s="48">
        <v>-52.74</v>
      </c>
      <c r="AJ269" t="s">
        <v>1295</v>
      </c>
      <c r="AK269" s="21">
        <v>45320</v>
      </c>
      <c r="AL269" s="48">
        <v>-19.989999999999998</v>
      </c>
      <c r="AO269" t="s">
        <v>1406</v>
      </c>
      <c r="AP269" s="21">
        <v>45330</v>
      </c>
      <c r="AQ269" s="48">
        <v>-15.67</v>
      </c>
      <c r="AT269" t="s">
        <v>1417</v>
      </c>
      <c r="AU269" s="21">
        <v>45378</v>
      </c>
      <c r="AV269" s="48">
        <v>-26.33</v>
      </c>
      <c r="AZ269" s="21"/>
      <c r="BA269" s="49"/>
    </row>
    <row r="270" spans="1:59" ht="15" thickBot="1" x14ac:dyDescent="0.4">
      <c r="B270" s="2"/>
      <c r="C270" s="48"/>
      <c r="F270" t="s">
        <v>1385</v>
      </c>
      <c r="G270" s="21">
        <v>44770</v>
      </c>
      <c r="H270" s="48">
        <v>-47.15</v>
      </c>
      <c r="I270" t="s">
        <v>1101</v>
      </c>
      <c r="L270" s="2"/>
      <c r="M270" s="48"/>
      <c r="P270" s="50" t="s">
        <v>339</v>
      </c>
      <c r="Q270" s="51" t="s">
        <v>340</v>
      </c>
      <c r="R270" s="51" t="s">
        <v>342</v>
      </c>
      <c r="S270" s="51" t="s">
        <v>343</v>
      </c>
      <c r="U270" t="s">
        <v>1385</v>
      </c>
      <c r="V270" s="21">
        <v>45219</v>
      </c>
      <c r="W270" s="48">
        <v>-30.57</v>
      </c>
      <c r="Z270" s="50" t="s">
        <v>442</v>
      </c>
      <c r="AA270" s="51" t="s">
        <v>340</v>
      </c>
      <c r="AB270" s="51" t="s">
        <v>342</v>
      </c>
      <c r="AC270" s="51" t="s">
        <v>343</v>
      </c>
      <c r="AL270" s="55">
        <f>SUM(AL268:AL269)</f>
        <v>-264.81</v>
      </c>
      <c r="AO270" t="s">
        <v>1410</v>
      </c>
      <c r="AP270" s="21">
        <v>45331</v>
      </c>
      <c r="AQ270" s="48">
        <v>-50.93</v>
      </c>
      <c r="AT270" t="s">
        <v>491</v>
      </c>
      <c r="AU270" s="21">
        <v>45382</v>
      </c>
      <c r="AV270" s="48">
        <v>-31.2</v>
      </c>
      <c r="AZ270" s="2"/>
      <c r="BA270" s="48">
        <f>SUM(BA256:BA269)</f>
        <v>-175.92</v>
      </c>
      <c r="BD270" s="157" t="s">
        <v>335</v>
      </c>
      <c r="BE270" s="51" t="s">
        <v>340</v>
      </c>
      <c r="BF270" s="51" t="s">
        <v>342</v>
      </c>
      <c r="BG270" s="51" t="s">
        <v>343</v>
      </c>
    </row>
    <row r="271" spans="1:59" x14ac:dyDescent="0.35">
      <c r="A271" s="50" t="s">
        <v>1218</v>
      </c>
      <c r="B271" s="51" t="s">
        <v>340</v>
      </c>
      <c r="C271" s="51" t="s">
        <v>342</v>
      </c>
      <c r="D271" s="51" t="s">
        <v>343</v>
      </c>
      <c r="G271" s="2"/>
      <c r="H271" s="55">
        <f>SUM(H266:H270)</f>
        <v>-193.05</v>
      </c>
      <c r="L271" s="2"/>
      <c r="M271" s="48"/>
      <c r="P271" t="s">
        <v>157</v>
      </c>
      <c r="Q271" s="21">
        <v>45173</v>
      </c>
      <c r="R271" s="48">
        <v>-3</v>
      </c>
      <c r="U271" t="s">
        <v>1385</v>
      </c>
      <c r="V271" s="21">
        <v>45225</v>
      </c>
      <c r="W271" s="48">
        <v>-52.74</v>
      </c>
      <c r="Z271" t="s">
        <v>442</v>
      </c>
      <c r="AA271" s="21">
        <v>45242</v>
      </c>
      <c r="AB271" s="48">
        <v>-1900</v>
      </c>
      <c r="AE271" s="50" t="s">
        <v>339</v>
      </c>
      <c r="AF271" s="51" t="s">
        <v>340</v>
      </c>
      <c r="AG271" s="51" t="s">
        <v>342</v>
      </c>
      <c r="AH271" s="51" t="s">
        <v>343</v>
      </c>
      <c r="AO271" t="s">
        <v>1416</v>
      </c>
      <c r="AP271" s="21">
        <v>45333</v>
      </c>
      <c r="AQ271" s="48">
        <v>-5.41</v>
      </c>
      <c r="AU271" s="21"/>
      <c r="AV271" s="48"/>
      <c r="BD271" s="35" t="s">
        <v>1435</v>
      </c>
      <c r="BE271" s="21">
        <v>45416</v>
      </c>
      <c r="BF271" s="48">
        <v>-23</v>
      </c>
    </row>
    <row r="272" spans="1:59" ht="15" thickBot="1" x14ac:dyDescent="0.4">
      <c r="A272" t="s">
        <v>1385</v>
      </c>
      <c r="B272" s="21">
        <v>45091</v>
      </c>
      <c r="C272" s="48">
        <v>-31.63</v>
      </c>
      <c r="K272" s="50" t="s">
        <v>1218</v>
      </c>
      <c r="L272" s="51" t="s">
        <v>340</v>
      </c>
      <c r="M272" s="51" t="s">
        <v>342</v>
      </c>
      <c r="N272" s="51" t="s">
        <v>343</v>
      </c>
      <c r="P272" t="s">
        <v>157</v>
      </c>
      <c r="Q272" s="21">
        <v>45175</v>
      </c>
      <c r="R272" s="48">
        <v>-5</v>
      </c>
      <c r="U272" t="s">
        <v>1385</v>
      </c>
      <c r="V272" s="21">
        <v>45229</v>
      </c>
      <c r="W272" s="49">
        <v>-83.31</v>
      </c>
      <c r="AA272" s="21"/>
      <c r="AB272" s="49"/>
      <c r="AE272" t="s">
        <v>157</v>
      </c>
      <c r="AF272" s="21">
        <v>45263</v>
      </c>
      <c r="AG272" s="48">
        <v>-3</v>
      </c>
      <c r="AO272" t="s">
        <v>958</v>
      </c>
      <c r="AP272" s="21">
        <v>45334</v>
      </c>
      <c r="AQ272" s="48">
        <v>-61</v>
      </c>
      <c r="AU272" s="21"/>
      <c r="AV272" s="49"/>
      <c r="BD272" s="35" t="s">
        <v>1435</v>
      </c>
      <c r="BE272" s="21">
        <v>45416</v>
      </c>
      <c r="BF272" s="48">
        <v>-27.5</v>
      </c>
    </row>
    <row r="273" spans="1:59" ht="15" thickBot="1" x14ac:dyDescent="0.4">
      <c r="A273" t="s">
        <v>1385</v>
      </c>
      <c r="B273" s="21">
        <v>45107</v>
      </c>
      <c r="C273" s="48">
        <v>-29.52</v>
      </c>
      <c r="K273" t="s">
        <v>1385</v>
      </c>
      <c r="L273" s="21">
        <v>45143</v>
      </c>
      <c r="M273" s="48">
        <v>-73.83</v>
      </c>
      <c r="P273" t="s">
        <v>157</v>
      </c>
      <c r="Q273" s="21">
        <v>45176</v>
      </c>
      <c r="R273" s="48">
        <v>-5.22</v>
      </c>
      <c r="V273" s="2"/>
      <c r="W273" s="48">
        <f>SUM(W266:W272)</f>
        <v>-314.27</v>
      </c>
      <c r="AA273" s="2"/>
      <c r="AB273" s="48">
        <f>SUM(AB271:AB272)</f>
        <v>-1900</v>
      </c>
      <c r="AE273" t="s">
        <v>157</v>
      </c>
      <c r="AF273" s="21">
        <v>45266</v>
      </c>
      <c r="AG273" s="48">
        <v>-5</v>
      </c>
      <c r="AJ273" s="50" t="s">
        <v>339</v>
      </c>
      <c r="AK273" s="51" t="s">
        <v>340</v>
      </c>
      <c r="AL273" s="51" t="s">
        <v>342</v>
      </c>
      <c r="AM273" s="51" t="s">
        <v>343</v>
      </c>
      <c r="AO273" t="s">
        <v>1417</v>
      </c>
      <c r="AP273" s="21">
        <v>45338</v>
      </c>
      <c r="AQ273" s="48">
        <v>-16.329999999999998</v>
      </c>
      <c r="AU273" s="2"/>
      <c r="AV273" s="48">
        <f>SUM(AV248:AV272)</f>
        <v>-558.29000000000008</v>
      </c>
      <c r="AY273" s="50" t="s">
        <v>335</v>
      </c>
      <c r="AZ273" s="51" t="s">
        <v>340</v>
      </c>
      <c r="BA273" s="51" t="s">
        <v>342</v>
      </c>
      <c r="BB273" s="51" t="s">
        <v>343</v>
      </c>
      <c r="BD273" s="35" t="s">
        <v>973</v>
      </c>
      <c r="BE273" s="21">
        <v>45421</v>
      </c>
      <c r="BF273" s="48">
        <v>-35</v>
      </c>
    </row>
    <row r="274" spans="1:59" ht="15" thickBot="1" x14ac:dyDescent="0.4">
      <c r="B274" s="21"/>
      <c r="C274" s="49"/>
      <c r="F274" s="50" t="s">
        <v>442</v>
      </c>
      <c r="G274" s="51" t="s">
        <v>340</v>
      </c>
      <c r="H274" s="51" t="s">
        <v>342</v>
      </c>
      <c r="I274" s="51" t="s">
        <v>343</v>
      </c>
      <c r="K274" t="s">
        <v>1385</v>
      </c>
      <c r="L274" s="21">
        <v>45150</v>
      </c>
      <c r="M274" s="48">
        <v>-47.46</v>
      </c>
      <c r="P274" t="s">
        <v>157</v>
      </c>
      <c r="Q274" s="21">
        <v>45182</v>
      </c>
      <c r="R274" s="48">
        <v>-5</v>
      </c>
      <c r="AE274" t="s">
        <v>157</v>
      </c>
      <c r="AF274" s="21">
        <v>45273</v>
      </c>
      <c r="AG274" s="48">
        <v>-5</v>
      </c>
      <c r="AJ274" t="s">
        <v>157</v>
      </c>
      <c r="AK274" s="21">
        <v>45293</v>
      </c>
      <c r="AL274" s="48">
        <v>-5.15</v>
      </c>
      <c r="AO274" t="s">
        <v>958</v>
      </c>
      <c r="AP274" s="21">
        <v>45338</v>
      </c>
      <c r="AQ274" s="48">
        <v>-31.5</v>
      </c>
      <c r="AY274" s="35" t="s">
        <v>973</v>
      </c>
      <c r="AZ274" s="21">
        <v>45388</v>
      </c>
      <c r="BA274" s="48">
        <v>-33</v>
      </c>
      <c r="BE274" s="2"/>
      <c r="BF274" s="55">
        <f>SUM(BF271:BF273)</f>
        <v>-85.5</v>
      </c>
    </row>
    <row r="275" spans="1:59" x14ac:dyDescent="0.35">
      <c r="B275" s="2"/>
      <c r="C275" s="48">
        <f>SUM(C272:C274)</f>
        <v>-61.15</v>
      </c>
      <c r="F275" t="s">
        <v>1031</v>
      </c>
      <c r="G275" s="21">
        <v>45110</v>
      </c>
      <c r="H275" s="48">
        <v>-3315</v>
      </c>
      <c r="K275" t="s">
        <v>1385</v>
      </c>
      <c r="L275" s="21">
        <v>45159</v>
      </c>
      <c r="M275" s="48">
        <v>-84.37</v>
      </c>
      <c r="N275" t="s">
        <v>1111</v>
      </c>
      <c r="P275" t="s">
        <v>159</v>
      </c>
      <c r="Q275" s="21">
        <v>45183</v>
      </c>
      <c r="R275" s="48">
        <v>-3</v>
      </c>
      <c r="AE275" t="s">
        <v>1023</v>
      </c>
      <c r="AF275" s="21">
        <v>45273</v>
      </c>
      <c r="AG275" s="48">
        <v>-39.950000000000003</v>
      </c>
      <c r="AJ275" t="s">
        <v>157</v>
      </c>
      <c r="AK275" s="21">
        <v>45295</v>
      </c>
      <c r="AL275" s="48">
        <v>-5</v>
      </c>
      <c r="AO275" t="s">
        <v>503</v>
      </c>
      <c r="AP275" s="21">
        <v>45341</v>
      </c>
      <c r="AQ275" s="48">
        <v>-20</v>
      </c>
      <c r="AY275" s="35" t="s">
        <v>1430</v>
      </c>
      <c r="AZ275" s="21">
        <v>45402</v>
      </c>
      <c r="BA275" s="48">
        <v>-36</v>
      </c>
      <c r="BE275" s="2"/>
      <c r="BF275" s="48"/>
    </row>
    <row r="276" spans="1:59" ht="15" thickBot="1" x14ac:dyDescent="0.4">
      <c r="G276" s="21"/>
      <c r="H276" s="49"/>
      <c r="K276" t="s">
        <v>1385</v>
      </c>
      <c r="L276" s="21">
        <v>45162</v>
      </c>
      <c r="M276" s="48">
        <v>-30</v>
      </c>
      <c r="N276" t="s">
        <v>1147</v>
      </c>
      <c r="P276" t="s">
        <v>157</v>
      </c>
      <c r="Q276" s="21">
        <v>45189</v>
      </c>
      <c r="R276" s="48">
        <v>-5</v>
      </c>
      <c r="U276" s="50" t="s">
        <v>442</v>
      </c>
      <c r="V276" s="51" t="s">
        <v>340</v>
      </c>
      <c r="W276" s="51" t="s">
        <v>342</v>
      </c>
      <c r="X276" s="51" t="s">
        <v>343</v>
      </c>
      <c r="Z276" s="50" t="s">
        <v>339</v>
      </c>
      <c r="AA276" s="51" t="s">
        <v>340</v>
      </c>
      <c r="AB276" s="51" t="s">
        <v>342</v>
      </c>
      <c r="AC276" s="51" t="s">
        <v>343</v>
      </c>
      <c r="AE276" t="s">
        <v>159</v>
      </c>
      <c r="AF276" s="21">
        <v>45274</v>
      </c>
      <c r="AG276" s="48">
        <v>-3</v>
      </c>
      <c r="AJ276" t="s">
        <v>157</v>
      </c>
      <c r="AK276" s="21">
        <v>45296</v>
      </c>
      <c r="AL276" s="48">
        <v>-3</v>
      </c>
      <c r="AO276" t="s">
        <v>958</v>
      </c>
      <c r="AP276" s="21">
        <v>45345</v>
      </c>
      <c r="AQ276" s="48">
        <v>-10</v>
      </c>
      <c r="AT276" s="50" t="s">
        <v>335</v>
      </c>
      <c r="AU276" s="51" t="s">
        <v>340</v>
      </c>
      <c r="AV276" s="51" t="s">
        <v>342</v>
      </c>
      <c r="AW276" s="51" t="s">
        <v>343</v>
      </c>
      <c r="BA276" s="49"/>
      <c r="BE276" s="2"/>
      <c r="BF276" s="48"/>
    </row>
    <row r="277" spans="1:59" ht="15" thickBot="1" x14ac:dyDescent="0.4">
      <c r="G277" s="2"/>
      <c r="H277" s="55">
        <f>SUM(H275:H276)</f>
        <v>-3315</v>
      </c>
      <c r="K277" t="s">
        <v>1385</v>
      </c>
      <c r="L277" s="21">
        <v>45167</v>
      </c>
      <c r="M277" s="48">
        <v>-52.74</v>
      </c>
      <c r="P277" t="s">
        <v>233</v>
      </c>
      <c r="Q277" s="21">
        <v>45195</v>
      </c>
      <c r="R277" s="48">
        <v>-34.950000000000003</v>
      </c>
      <c r="V277" s="21"/>
      <c r="W277" s="48"/>
      <c r="Z277" t="s">
        <v>157</v>
      </c>
      <c r="AA277" s="21">
        <v>45231</v>
      </c>
      <c r="AB277" s="48">
        <v>-5</v>
      </c>
      <c r="AC277" s="150"/>
      <c r="AE277" t="s">
        <v>157</v>
      </c>
      <c r="AF277" s="21">
        <v>45280</v>
      </c>
      <c r="AG277" s="48">
        <v>-5</v>
      </c>
      <c r="AJ277" t="s">
        <v>157</v>
      </c>
      <c r="AK277" s="21">
        <v>45296</v>
      </c>
      <c r="AL277" s="48">
        <v>-5.44</v>
      </c>
      <c r="AO277" t="s">
        <v>958</v>
      </c>
      <c r="AP277" s="21">
        <v>45351</v>
      </c>
      <c r="AQ277" s="48">
        <v>-37.5</v>
      </c>
      <c r="AT277" t="s">
        <v>1420</v>
      </c>
      <c r="AU277" s="21">
        <v>45362</v>
      </c>
      <c r="AV277" s="48">
        <v>-17.5</v>
      </c>
      <c r="AZ277" s="2"/>
      <c r="BA277" s="48">
        <f>SUM(BA274:BA276)</f>
        <v>-69</v>
      </c>
      <c r="BD277" s="157" t="s">
        <v>337</v>
      </c>
      <c r="BE277" s="51" t="s">
        <v>340</v>
      </c>
      <c r="BF277" s="51" t="s">
        <v>342</v>
      </c>
      <c r="BG277" s="51" t="s">
        <v>343</v>
      </c>
    </row>
    <row r="278" spans="1:59" ht="15" thickBot="1" x14ac:dyDescent="0.4">
      <c r="A278" s="50" t="s">
        <v>442</v>
      </c>
      <c r="B278" s="51" t="s">
        <v>340</v>
      </c>
      <c r="C278" s="51" t="s">
        <v>342</v>
      </c>
      <c r="D278" s="51" t="s">
        <v>343</v>
      </c>
      <c r="L278" s="2"/>
      <c r="M278" s="55">
        <f>SUM(M273:M277)</f>
        <v>-288.39999999999998</v>
      </c>
      <c r="P278" t="s">
        <v>157</v>
      </c>
      <c r="Q278" s="21">
        <v>45196</v>
      </c>
      <c r="R278" s="48">
        <v>-5</v>
      </c>
      <c r="V278" s="21"/>
      <c r="W278" s="49"/>
      <c r="Z278" t="s">
        <v>157</v>
      </c>
      <c r="AA278" s="21">
        <v>45235</v>
      </c>
      <c r="AB278" s="48">
        <v>-3</v>
      </c>
      <c r="AC278" s="150"/>
      <c r="AE278" t="s">
        <v>157</v>
      </c>
      <c r="AF278" s="21">
        <v>45281</v>
      </c>
      <c r="AG278" s="48">
        <v>-5.35</v>
      </c>
      <c r="AJ278" t="s">
        <v>157</v>
      </c>
      <c r="AK278" s="21">
        <v>45302</v>
      </c>
      <c r="AL278" s="48">
        <v>-5</v>
      </c>
      <c r="AP278" s="21"/>
      <c r="AQ278" s="49"/>
      <c r="AT278" t="s">
        <v>1420</v>
      </c>
      <c r="AU278" s="21">
        <v>45362</v>
      </c>
      <c r="AV278" s="48">
        <v>-49</v>
      </c>
      <c r="AZ278" s="2"/>
      <c r="BA278" s="48"/>
      <c r="BE278" s="21"/>
      <c r="BF278" s="48"/>
    </row>
    <row r="279" spans="1:59" ht="15" thickBot="1" x14ac:dyDescent="0.4">
      <c r="B279" s="21"/>
      <c r="C279" s="48"/>
      <c r="R279" s="55">
        <f>SUM(R271:R278)</f>
        <v>-66.17</v>
      </c>
      <c r="V279" s="2"/>
      <c r="W279" s="48">
        <f>SUM(W277:W278)</f>
        <v>0</v>
      </c>
      <c r="Z279" t="s">
        <v>157</v>
      </c>
      <c r="AA279" s="21">
        <v>45238</v>
      </c>
      <c r="AB279" s="48">
        <v>-5</v>
      </c>
      <c r="AC279" s="150"/>
      <c r="AE279" t="s">
        <v>233</v>
      </c>
      <c r="AF279" s="21">
        <v>45286</v>
      </c>
      <c r="AG279" s="48">
        <v>-34.950000000000003</v>
      </c>
      <c r="AJ279" t="s">
        <v>157</v>
      </c>
      <c r="AK279" s="21">
        <v>45303</v>
      </c>
      <c r="AL279" s="48">
        <v>-6.81</v>
      </c>
      <c r="AQ279" s="48">
        <f>SUM(AQ259:AQ278)</f>
        <v>-784.82999999999993</v>
      </c>
      <c r="AT279" t="s">
        <v>972</v>
      </c>
      <c r="AU279" s="21">
        <v>45364</v>
      </c>
      <c r="AV279" s="48">
        <v>-15</v>
      </c>
      <c r="AZ279" s="2"/>
      <c r="BA279" s="48"/>
      <c r="BE279" s="21"/>
      <c r="BF279" s="49"/>
    </row>
    <row r="280" spans="1:59" ht="15" thickBot="1" x14ac:dyDescent="0.4">
      <c r="B280" s="21"/>
      <c r="C280" s="49"/>
      <c r="F280" s="50" t="s">
        <v>339</v>
      </c>
      <c r="G280" s="51" t="s">
        <v>340</v>
      </c>
      <c r="H280" s="51" t="s">
        <v>342</v>
      </c>
      <c r="I280" s="51" t="s">
        <v>343</v>
      </c>
      <c r="Z280" t="s">
        <v>1023</v>
      </c>
      <c r="AA280" s="21">
        <v>45243</v>
      </c>
      <c r="AB280" s="48">
        <v>-39.950000000000003</v>
      </c>
      <c r="AE280" t="s">
        <v>157</v>
      </c>
      <c r="AF280" s="21">
        <v>45287</v>
      </c>
      <c r="AG280" s="48">
        <v>-5</v>
      </c>
      <c r="AJ280" t="s">
        <v>159</v>
      </c>
      <c r="AK280" s="21">
        <v>45307</v>
      </c>
      <c r="AL280" s="48">
        <v>-3</v>
      </c>
      <c r="AT280" s="21"/>
      <c r="AU280" s="48"/>
      <c r="AY280" s="50" t="s">
        <v>337</v>
      </c>
      <c r="AZ280" s="51" t="s">
        <v>340</v>
      </c>
      <c r="BA280" s="51" t="s">
        <v>342</v>
      </c>
      <c r="BB280" s="51" t="s">
        <v>343</v>
      </c>
      <c r="BE280" s="2"/>
      <c r="BF280" s="48">
        <f>SUM(BF278:BF279)</f>
        <v>0</v>
      </c>
    </row>
    <row r="281" spans="1:59" ht="15" thickBot="1" x14ac:dyDescent="0.4">
      <c r="B281" s="2"/>
      <c r="C281" s="48">
        <f>SUM(C279:C280)</f>
        <v>0</v>
      </c>
      <c r="F281" t="s">
        <v>157</v>
      </c>
      <c r="G281" s="21">
        <v>45112</v>
      </c>
      <c r="H281" s="48">
        <v>-3</v>
      </c>
      <c r="K281" s="50" t="s">
        <v>442</v>
      </c>
      <c r="L281" s="51" t="s">
        <v>340</v>
      </c>
      <c r="M281" s="51" t="s">
        <v>342</v>
      </c>
      <c r="N281" s="51" t="s">
        <v>343</v>
      </c>
      <c r="Z281" t="s">
        <v>159</v>
      </c>
      <c r="AA281" s="21">
        <v>45244</v>
      </c>
      <c r="AB281" s="48">
        <v>-3</v>
      </c>
      <c r="AE281" t="s">
        <v>1295</v>
      </c>
      <c r="AF281" s="21">
        <v>45288</v>
      </c>
      <c r="AG281" s="48">
        <v>-19.989999999999998</v>
      </c>
      <c r="AJ281" t="s">
        <v>157</v>
      </c>
      <c r="AK281" s="21">
        <v>45309</v>
      </c>
      <c r="AL281" s="48">
        <v>-5.96</v>
      </c>
      <c r="AT281" s="21"/>
      <c r="AU281" s="48"/>
      <c r="AZ281" s="21"/>
      <c r="BA281" s="48"/>
      <c r="BE281" s="2"/>
      <c r="BF281" s="48"/>
    </row>
    <row r="282" spans="1:59" ht="15" thickBot="1" x14ac:dyDescent="0.4">
      <c r="F282" t="s">
        <v>157</v>
      </c>
      <c r="G282" s="21">
        <v>45112</v>
      </c>
      <c r="H282" s="48">
        <v>-5</v>
      </c>
      <c r="L282" s="21"/>
      <c r="M282" s="48"/>
      <c r="U282" s="50" t="s">
        <v>339</v>
      </c>
      <c r="V282" s="51" t="s">
        <v>340</v>
      </c>
      <c r="W282" s="51" t="s">
        <v>342</v>
      </c>
      <c r="X282" s="51" t="s">
        <v>343</v>
      </c>
      <c r="Z282" t="s">
        <v>157</v>
      </c>
      <c r="AA282" s="21">
        <v>45245</v>
      </c>
      <c r="AB282" s="48">
        <v>-5</v>
      </c>
      <c r="AG282" s="55">
        <f>SUM(AG272:AG281)</f>
        <v>-126.24</v>
      </c>
      <c r="AJ282" t="s">
        <v>157</v>
      </c>
      <c r="AK282" s="21">
        <v>45309</v>
      </c>
      <c r="AL282" s="48">
        <v>-5</v>
      </c>
      <c r="AO282" s="50" t="s">
        <v>335</v>
      </c>
      <c r="AP282" s="51" t="s">
        <v>340</v>
      </c>
      <c r="AQ282" s="51" t="s">
        <v>342</v>
      </c>
      <c r="AR282" s="51" t="s">
        <v>343</v>
      </c>
      <c r="AT282" s="21"/>
      <c r="AU282" s="48"/>
      <c r="AZ282" s="21"/>
      <c r="BA282" s="49"/>
      <c r="BE282" s="2"/>
      <c r="BF282" s="48"/>
    </row>
    <row r="283" spans="1:59" ht="15" thickBot="1" x14ac:dyDescent="0.4">
      <c r="F283" t="s">
        <v>157</v>
      </c>
      <c r="G283" s="21">
        <v>45119</v>
      </c>
      <c r="H283" s="48">
        <v>-5</v>
      </c>
      <c r="L283" s="21"/>
      <c r="M283" s="49"/>
      <c r="U283" t="s">
        <v>157</v>
      </c>
      <c r="V283" s="21">
        <v>45203</v>
      </c>
      <c r="W283" s="48">
        <v>-3</v>
      </c>
      <c r="Z283" t="s">
        <v>157</v>
      </c>
      <c r="AA283" s="21">
        <v>45253</v>
      </c>
      <c r="AB283" s="48">
        <v>-5</v>
      </c>
      <c r="AJ283" t="s">
        <v>157</v>
      </c>
      <c r="AK283" s="21">
        <v>45316</v>
      </c>
      <c r="AL283" s="48">
        <v>-5</v>
      </c>
      <c r="AO283" s="35" t="s">
        <v>1391</v>
      </c>
      <c r="AP283" s="21">
        <v>45323</v>
      </c>
      <c r="AQ283">
        <v>-97.22</v>
      </c>
      <c r="AV283" s="49"/>
      <c r="AZ283" s="2"/>
      <c r="BA283" s="48">
        <f>SUM(BA281:BA282)</f>
        <v>0</v>
      </c>
      <c r="BD283" s="157" t="s">
        <v>1218</v>
      </c>
      <c r="BE283" s="51" t="s">
        <v>340</v>
      </c>
      <c r="BF283" s="51" t="s">
        <v>342</v>
      </c>
      <c r="BG283" s="51" t="s">
        <v>343</v>
      </c>
    </row>
    <row r="284" spans="1:59" x14ac:dyDescent="0.35">
      <c r="A284" s="50" t="s">
        <v>1022</v>
      </c>
      <c r="B284" s="51" t="s">
        <v>340</v>
      </c>
      <c r="C284" s="51" t="s">
        <v>342</v>
      </c>
      <c r="D284" s="51" t="s">
        <v>343</v>
      </c>
      <c r="F284" t="s">
        <v>159</v>
      </c>
      <c r="G284" s="21">
        <v>45123</v>
      </c>
      <c r="H284" s="48">
        <v>-3</v>
      </c>
      <c r="L284" s="2"/>
      <c r="M284" s="48">
        <f>SUM(M282:M283)</f>
        <v>0</v>
      </c>
      <c r="U284" t="s">
        <v>157</v>
      </c>
      <c r="V284" s="21">
        <v>45203</v>
      </c>
      <c r="W284" s="48">
        <v>-5</v>
      </c>
      <c r="Z284" t="s">
        <v>233</v>
      </c>
      <c r="AA284" s="21">
        <v>45255</v>
      </c>
      <c r="AB284" s="48">
        <v>-34.950000000000003</v>
      </c>
      <c r="AJ284" t="s">
        <v>1389</v>
      </c>
      <c r="AK284" s="21">
        <v>45317</v>
      </c>
      <c r="AL284" s="48">
        <v>-34.9</v>
      </c>
      <c r="AO284" t="s">
        <v>1392</v>
      </c>
      <c r="AP284" s="21">
        <v>45324</v>
      </c>
      <c r="AQ284" s="48">
        <v>-25</v>
      </c>
      <c r="AU284" s="2"/>
      <c r="AV284" s="48">
        <f>SUM(AV277:AV283)</f>
        <v>-81.5</v>
      </c>
      <c r="AZ284" s="2"/>
      <c r="BA284" s="48"/>
      <c r="BD284" s="38" t="s">
        <v>1436</v>
      </c>
      <c r="BE284" s="21">
        <v>45420</v>
      </c>
      <c r="BF284" s="48">
        <v>-42.19</v>
      </c>
    </row>
    <row r="285" spans="1:59" x14ac:dyDescent="0.35">
      <c r="A285" t="s">
        <v>157</v>
      </c>
      <c r="B285" s="21">
        <v>45081</v>
      </c>
      <c r="C285" s="48">
        <v>-3</v>
      </c>
      <c r="F285" t="s">
        <v>157</v>
      </c>
      <c r="G285" s="21">
        <v>45126</v>
      </c>
      <c r="H285" s="48">
        <v>-5</v>
      </c>
      <c r="U285" t="s">
        <v>157</v>
      </c>
      <c r="V285" s="21">
        <v>45210</v>
      </c>
      <c r="W285" s="48">
        <v>-5</v>
      </c>
      <c r="Z285" t="s">
        <v>557</v>
      </c>
      <c r="AA285" s="21">
        <v>45255</v>
      </c>
      <c r="AB285" s="48">
        <v>-4.5</v>
      </c>
      <c r="AE285" s="31"/>
      <c r="AJ285" t="s">
        <v>1390</v>
      </c>
      <c r="AK285" s="21">
        <v>45318</v>
      </c>
      <c r="AL285" s="48">
        <v>-5</v>
      </c>
      <c r="AO285" t="s">
        <v>1393</v>
      </c>
      <c r="AP285" s="21">
        <v>45324</v>
      </c>
      <c r="AQ285" s="48">
        <v>-41.87</v>
      </c>
      <c r="AU285" s="2"/>
      <c r="AV285" s="48"/>
      <c r="AZ285" s="2"/>
      <c r="BA285" s="48"/>
      <c r="BD285" s="38" t="s">
        <v>1385</v>
      </c>
      <c r="BE285" s="21">
        <v>45423</v>
      </c>
      <c r="BF285" s="48">
        <v>-42.19</v>
      </c>
    </row>
    <row r="286" spans="1:59" ht="15" thickBot="1" x14ac:dyDescent="0.4">
      <c r="A286" t="s">
        <v>157</v>
      </c>
      <c r="B286" s="21">
        <v>45084</v>
      </c>
      <c r="C286" s="48">
        <v>-5</v>
      </c>
      <c r="F286" t="s">
        <v>1025</v>
      </c>
      <c r="G286" s="21">
        <v>45133</v>
      </c>
      <c r="H286" s="48">
        <v>-34.950000000000003</v>
      </c>
      <c r="U286" t="s">
        <v>159</v>
      </c>
      <c r="V286" s="21">
        <v>45214</v>
      </c>
      <c r="W286" s="48">
        <v>-3</v>
      </c>
      <c r="Z286" t="s">
        <v>157</v>
      </c>
      <c r="AA286" s="21">
        <v>45259</v>
      </c>
      <c r="AB286" s="48">
        <v>-5</v>
      </c>
      <c r="AF286" s="21"/>
      <c r="AG286" s="48"/>
      <c r="AJ286" t="s">
        <v>157</v>
      </c>
      <c r="AK286" s="21">
        <v>45321</v>
      </c>
      <c r="AL286" s="48">
        <v>-6</v>
      </c>
      <c r="AO286" t="s">
        <v>1414</v>
      </c>
      <c r="AP286" s="21">
        <v>45332</v>
      </c>
      <c r="AQ286" s="48">
        <v>-57.37</v>
      </c>
      <c r="AU286" s="2"/>
      <c r="AV286" s="48"/>
      <c r="AY286" s="50" t="s">
        <v>1218</v>
      </c>
      <c r="AZ286" s="51" t="s">
        <v>340</v>
      </c>
      <c r="BA286" s="51" t="s">
        <v>342</v>
      </c>
      <c r="BB286" s="51" t="s">
        <v>343</v>
      </c>
      <c r="BD286" s="38" t="s">
        <v>1414</v>
      </c>
      <c r="BE286" s="21">
        <v>45424</v>
      </c>
      <c r="BF286" s="48">
        <v>-17.29</v>
      </c>
    </row>
    <row r="287" spans="1:59" ht="15" thickBot="1" x14ac:dyDescent="0.4">
      <c r="A287" t="s">
        <v>159</v>
      </c>
      <c r="B287" s="21">
        <v>45091</v>
      </c>
      <c r="C287" s="48">
        <v>-3</v>
      </c>
      <c r="F287" t="s">
        <v>557</v>
      </c>
      <c r="G287" s="21">
        <v>45133</v>
      </c>
      <c r="H287" s="48">
        <v>-4.25</v>
      </c>
      <c r="K287" s="50" t="s">
        <v>339</v>
      </c>
      <c r="L287" s="51" t="s">
        <v>340</v>
      </c>
      <c r="M287" s="51" t="s">
        <v>342</v>
      </c>
      <c r="N287" s="51" t="s">
        <v>343</v>
      </c>
      <c r="U287" t="s">
        <v>157</v>
      </c>
      <c r="V287" s="21">
        <v>45216</v>
      </c>
      <c r="W287" s="48">
        <v>-7.53</v>
      </c>
      <c r="AB287" s="55">
        <f>SUM(AB277:AB286)</f>
        <v>-110.4</v>
      </c>
      <c r="AF287" s="21"/>
      <c r="AG287" s="48"/>
      <c r="AL287" s="49"/>
      <c r="AO287" t="s">
        <v>973</v>
      </c>
      <c r="AP287" s="21">
        <v>45343</v>
      </c>
      <c r="AQ287" s="48">
        <v>-33</v>
      </c>
      <c r="AT287" s="50" t="s">
        <v>337</v>
      </c>
      <c r="AU287" s="51" t="s">
        <v>340</v>
      </c>
      <c r="AV287" s="51" t="s">
        <v>342</v>
      </c>
      <c r="AW287" s="51" t="s">
        <v>343</v>
      </c>
      <c r="AY287" t="s">
        <v>1385</v>
      </c>
      <c r="AZ287" s="21">
        <v>45391</v>
      </c>
      <c r="BA287" s="48">
        <v>42.19</v>
      </c>
      <c r="BD287" s="38" t="s">
        <v>1385</v>
      </c>
      <c r="BE287" s="21">
        <v>45427</v>
      </c>
      <c r="BF287" s="48">
        <v>-20.03</v>
      </c>
    </row>
    <row r="288" spans="1:59" ht="15" thickBot="1" x14ac:dyDescent="0.4">
      <c r="A288" t="s">
        <v>157</v>
      </c>
      <c r="B288" s="21">
        <v>45091</v>
      </c>
      <c r="C288" s="48">
        <v>-5</v>
      </c>
      <c r="F288" t="s">
        <v>157</v>
      </c>
      <c r="G288" s="21">
        <v>45133</v>
      </c>
      <c r="H288" s="48">
        <v>-5</v>
      </c>
      <c r="K288" t="s">
        <v>157</v>
      </c>
      <c r="L288" s="21">
        <v>45141</v>
      </c>
      <c r="M288" s="48">
        <v>-5.07</v>
      </c>
      <c r="U288" t="s">
        <v>157</v>
      </c>
      <c r="V288" s="21">
        <v>45217</v>
      </c>
      <c r="W288" s="48">
        <v>-5</v>
      </c>
      <c r="AF288" s="21"/>
      <c r="AG288" s="48"/>
      <c r="AL288" s="48">
        <f>SUM(AL274:AL287)</f>
        <v>-95.259999999999991</v>
      </c>
      <c r="AQ288" s="49"/>
      <c r="AU288" s="21"/>
      <c r="AV288" s="48"/>
      <c r="AY288" t="s">
        <v>1385</v>
      </c>
      <c r="AZ288" s="21">
        <v>45394</v>
      </c>
      <c r="BA288" s="48">
        <v>-30.57</v>
      </c>
      <c r="BD288" s="38" t="s">
        <v>1385</v>
      </c>
      <c r="BE288" s="21">
        <v>45431</v>
      </c>
      <c r="BF288" s="48">
        <v>-52.73</v>
      </c>
    </row>
    <row r="289" spans="1:59" ht="15" thickBot="1" x14ac:dyDescent="0.4">
      <c r="A289" t="s">
        <v>157</v>
      </c>
      <c r="B289" s="21">
        <v>45098</v>
      </c>
      <c r="C289" s="48">
        <v>-5</v>
      </c>
      <c r="F289" t="s">
        <v>1100</v>
      </c>
      <c r="G289" s="21">
        <v>45137</v>
      </c>
      <c r="H289" s="48">
        <v>-49.45</v>
      </c>
      <c r="K289" t="s">
        <v>157</v>
      </c>
      <c r="L289" s="21">
        <v>45144</v>
      </c>
      <c r="M289" s="48">
        <v>-3</v>
      </c>
      <c r="U289" t="s">
        <v>233</v>
      </c>
      <c r="V289" s="21">
        <v>45224</v>
      </c>
      <c r="W289" s="48">
        <v>-34.950000000000003</v>
      </c>
      <c r="AF289" s="21"/>
      <c r="AG289" s="48"/>
      <c r="AQ289" s="48">
        <f>SUM(AQ283:AQ288)</f>
        <v>-254.46</v>
      </c>
      <c r="AU289" s="21"/>
      <c r="AV289" s="49"/>
      <c r="AY289" t="s">
        <v>1385</v>
      </c>
      <c r="AZ289" s="21">
        <v>45397</v>
      </c>
      <c r="BA289" s="48">
        <v>42.19</v>
      </c>
      <c r="BD289" s="38" t="s">
        <v>1385</v>
      </c>
      <c r="BE289" s="21">
        <v>45434</v>
      </c>
      <c r="BF289" s="48">
        <v>-56.41</v>
      </c>
    </row>
    <row r="290" spans="1:59" x14ac:dyDescent="0.35">
      <c r="A290" t="s">
        <v>1023</v>
      </c>
      <c r="B290" s="21">
        <v>45100</v>
      </c>
      <c r="C290" s="48">
        <v>-59.85</v>
      </c>
      <c r="G290" s="21"/>
      <c r="H290" s="55">
        <f>SUM(H281:H289)</f>
        <v>-114.65</v>
      </c>
      <c r="K290" t="s">
        <v>157</v>
      </c>
      <c r="L290" s="21">
        <v>45147</v>
      </c>
      <c r="M290" s="48">
        <v>-5</v>
      </c>
      <c r="U290" t="s">
        <v>157</v>
      </c>
      <c r="V290" s="21">
        <v>45224</v>
      </c>
      <c r="W290" s="48">
        <v>-5</v>
      </c>
      <c r="AF290" s="21"/>
      <c r="AG290" s="48"/>
      <c r="AQ290" s="48"/>
      <c r="AU290" s="2"/>
      <c r="AV290" s="48">
        <f>SUM(AV288:AV289)</f>
        <v>0</v>
      </c>
      <c r="AY290" t="s">
        <v>1385</v>
      </c>
      <c r="AZ290" s="21">
        <v>45404</v>
      </c>
      <c r="BA290" s="48">
        <v>-7.19</v>
      </c>
      <c r="BD290" s="38" t="s">
        <v>1385</v>
      </c>
      <c r="BE290" s="21">
        <v>45441</v>
      </c>
      <c r="BF290" s="48">
        <v>-30.57</v>
      </c>
    </row>
    <row r="291" spans="1:59" ht="15" thickBot="1" x14ac:dyDescent="0.4">
      <c r="A291" t="s">
        <v>1025</v>
      </c>
      <c r="B291" s="21">
        <v>45103</v>
      </c>
      <c r="C291" s="48">
        <v>-34.950000000000003</v>
      </c>
      <c r="G291" s="21"/>
      <c r="K291" t="s">
        <v>157</v>
      </c>
      <c r="L291" s="21">
        <v>45148</v>
      </c>
      <c r="M291" s="48">
        <v>-5.29</v>
      </c>
      <c r="U291" t="s">
        <v>557</v>
      </c>
      <c r="V291" s="21">
        <v>45225</v>
      </c>
      <c r="W291" s="48">
        <v>-0.25</v>
      </c>
      <c r="Z291" s="31"/>
      <c r="AQ291" s="48"/>
      <c r="AU291" s="2"/>
      <c r="AV291" s="48"/>
      <c r="AY291" t="s">
        <v>1385</v>
      </c>
      <c r="AZ291" s="21">
        <v>45410</v>
      </c>
      <c r="BA291" s="48">
        <v>-71.709999999999994</v>
      </c>
      <c r="BD291" s="38" t="s">
        <v>1385</v>
      </c>
      <c r="BE291" s="21">
        <v>45443</v>
      </c>
      <c r="BF291" s="48">
        <v>7.19</v>
      </c>
    </row>
    <row r="292" spans="1:59" ht="15" thickBot="1" x14ac:dyDescent="0.4">
      <c r="A292" t="s">
        <v>557</v>
      </c>
      <c r="B292" s="21">
        <v>45103</v>
      </c>
      <c r="C292" s="48">
        <v>-4.25</v>
      </c>
      <c r="K292" t="s">
        <v>159</v>
      </c>
      <c r="L292" s="21">
        <v>45152</v>
      </c>
      <c r="M292" s="48">
        <v>-3</v>
      </c>
      <c r="V292" s="21"/>
      <c r="W292" s="49"/>
      <c r="AA292" s="19"/>
      <c r="AB292" s="48"/>
      <c r="AO292" s="50" t="s">
        <v>337</v>
      </c>
      <c r="AP292" s="51" t="s">
        <v>340</v>
      </c>
      <c r="AQ292" s="51" t="s">
        <v>342</v>
      </c>
      <c r="AR292" s="51" t="s">
        <v>343</v>
      </c>
      <c r="AU292" s="2"/>
      <c r="AV292" s="48"/>
      <c r="AZ292" s="21"/>
      <c r="BA292" s="48"/>
      <c r="BE292" s="2"/>
      <c r="BF292" s="55">
        <f>SUM(BF284:BF291)</f>
        <v>-254.21999999999997</v>
      </c>
    </row>
    <row r="293" spans="1:59" ht="15" thickBot="1" x14ac:dyDescent="0.4">
      <c r="A293" t="s">
        <v>157</v>
      </c>
      <c r="B293" s="21">
        <v>45105</v>
      </c>
      <c r="C293" s="48">
        <v>-5</v>
      </c>
      <c r="K293" t="s">
        <v>157</v>
      </c>
      <c r="L293" s="21">
        <v>45154</v>
      </c>
      <c r="M293" s="48">
        <v>-5</v>
      </c>
      <c r="W293" s="48">
        <f>SUM(W283:W292)</f>
        <v>-68.73</v>
      </c>
      <c r="AA293" s="19"/>
      <c r="AB293" s="48"/>
      <c r="AE293" s="31"/>
      <c r="AP293" s="21"/>
      <c r="AQ293" s="48"/>
      <c r="AT293" s="50" t="s">
        <v>1218</v>
      </c>
      <c r="AU293" s="51" t="s">
        <v>340</v>
      </c>
      <c r="AV293" s="51" t="s">
        <v>342</v>
      </c>
      <c r="AW293" s="51" t="s">
        <v>343</v>
      </c>
      <c r="AZ293" s="21"/>
      <c r="BA293" s="49"/>
    </row>
    <row r="294" spans="1:59" ht="15" thickBot="1" x14ac:dyDescent="0.4">
      <c r="B294" s="21"/>
      <c r="C294" s="49"/>
      <c r="K294" t="s">
        <v>157</v>
      </c>
      <c r="L294" s="21">
        <v>45161</v>
      </c>
      <c r="M294" s="48">
        <v>-5</v>
      </c>
      <c r="AA294" s="19"/>
      <c r="AB294" s="48"/>
      <c r="AF294" s="21"/>
      <c r="AG294" s="48"/>
      <c r="AP294" s="21"/>
      <c r="AQ294" s="49"/>
      <c r="AT294" t="s">
        <v>1385</v>
      </c>
      <c r="AU294" s="21">
        <v>45355</v>
      </c>
      <c r="AV294" s="48">
        <v>-70.22</v>
      </c>
      <c r="AZ294" s="2"/>
      <c r="BA294" s="48">
        <f>SUM(BA287:BA293)</f>
        <v>-25.089999999999996</v>
      </c>
    </row>
    <row r="295" spans="1:59" x14ac:dyDescent="0.35">
      <c r="C295" s="48">
        <f>SUM(C285:C294)</f>
        <v>-125.05</v>
      </c>
      <c r="K295" t="s">
        <v>233</v>
      </c>
      <c r="L295" s="21">
        <v>45163</v>
      </c>
      <c r="M295" s="48">
        <v>-34.950000000000003</v>
      </c>
      <c r="AA295" s="19"/>
      <c r="AB295" s="48"/>
      <c r="AF295" s="21"/>
      <c r="AG295" s="48"/>
      <c r="AQ295" s="48">
        <f>SUM(AQ293:AQ294)</f>
        <v>0</v>
      </c>
      <c r="AT295" t="s">
        <v>1385</v>
      </c>
      <c r="AU295" s="21">
        <v>45360</v>
      </c>
      <c r="AV295" s="48">
        <v>-20.03</v>
      </c>
      <c r="BD295" s="157" t="s">
        <v>442</v>
      </c>
      <c r="BE295" s="51" t="s">
        <v>340</v>
      </c>
      <c r="BF295" s="51" t="s">
        <v>342</v>
      </c>
      <c r="BG295" s="51" t="s">
        <v>343</v>
      </c>
    </row>
    <row r="296" spans="1:59" x14ac:dyDescent="0.35">
      <c r="K296" t="s">
        <v>557</v>
      </c>
      <c r="L296" s="21">
        <v>45164</v>
      </c>
      <c r="M296" s="48">
        <f>-4.5</f>
        <v>-4.5</v>
      </c>
      <c r="AA296" s="19"/>
      <c r="AB296" s="48"/>
      <c r="AF296" s="21"/>
      <c r="AG296" s="48"/>
      <c r="AQ296" s="48"/>
      <c r="AT296" t="s">
        <v>1385</v>
      </c>
      <c r="AU296" s="21">
        <v>45366</v>
      </c>
      <c r="AV296" s="48">
        <v>-52.73</v>
      </c>
      <c r="BD296" s="38" t="s">
        <v>1421</v>
      </c>
      <c r="BE296" s="21">
        <v>45420</v>
      </c>
      <c r="BF296" s="48">
        <v>-39.950000000000003</v>
      </c>
    </row>
    <row r="297" spans="1:59" ht="15" thickBot="1" x14ac:dyDescent="0.4">
      <c r="K297" t="s">
        <v>157</v>
      </c>
      <c r="L297" s="21">
        <v>45168</v>
      </c>
      <c r="M297" s="48">
        <v>-5</v>
      </c>
      <c r="U297" s="31"/>
      <c r="AF297" s="21"/>
      <c r="AG297" s="48"/>
      <c r="AQ297" s="48"/>
      <c r="AT297" t="s">
        <v>1385</v>
      </c>
      <c r="AU297" s="21">
        <v>45373</v>
      </c>
      <c r="AV297" s="48">
        <v>-52.73</v>
      </c>
      <c r="AY297" s="50" t="s">
        <v>442</v>
      </c>
      <c r="AZ297" s="51" t="s">
        <v>340</v>
      </c>
      <c r="BA297" s="51" t="s">
        <v>342</v>
      </c>
      <c r="BB297" s="51" t="s">
        <v>343</v>
      </c>
      <c r="BD297" s="38" t="s">
        <v>1428</v>
      </c>
      <c r="BE297" s="21">
        <v>45436</v>
      </c>
      <c r="BF297" s="48">
        <v>-75</v>
      </c>
    </row>
    <row r="298" spans="1:59" x14ac:dyDescent="0.35">
      <c r="M298" s="55">
        <f>SUM(M288:M297)</f>
        <v>-75.81</v>
      </c>
      <c r="V298" s="19"/>
      <c r="W298" s="48"/>
      <c r="Z298" s="31"/>
      <c r="AF298" s="21"/>
      <c r="AG298" s="48"/>
      <c r="AO298" s="50" t="s">
        <v>1218</v>
      </c>
      <c r="AP298" s="51" t="s">
        <v>340</v>
      </c>
      <c r="AQ298" s="51" t="s">
        <v>342</v>
      </c>
      <c r="AR298" s="51" t="s">
        <v>343</v>
      </c>
      <c r="AT298" t="s">
        <v>1423</v>
      </c>
      <c r="AU298" s="21">
        <v>45376</v>
      </c>
      <c r="AV298" s="48">
        <v>-7.37</v>
      </c>
      <c r="AY298" t="s">
        <v>1428</v>
      </c>
      <c r="AZ298" s="21">
        <v>45392</v>
      </c>
      <c r="BA298" s="48">
        <v>-86</v>
      </c>
      <c r="BE298" s="21"/>
      <c r="BF298" s="48"/>
    </row>
    <row r="299" spans="1:59" ht="15" thickBot="1" x14ac:dyDescent="0.4">
      <c r="V299" s="19"/>
      <c r="W299" s="48"/>
      <c r="AA299" s="19"/>
      <c r="AB299" s="47"/>
      <c r="AF299" s="21"/>
      <c r="AG299" s="48"/>
      <c r="AO299" t="s">
        <v>1385</v>
      </c>
      <c r="AP299" s="21">
        <v>45323</v>
      </c>
      <c r="AQ299" s="48">
        <v>-37.76</v>
      </c>
      <c r="AT299" t="s">
        <v>1385</v>
      </c>
      <c r="AU299" s="21">
        <v>45380</v>
      </c>
      <c r="AV299" s="48">
        <v>-72.760000000000005</v>
      </c>
      <c r="AY299" t="s">
        <v>1429</v>
      </c>
      <c r="AZ299" s="21">
        <v>45400</v>
      </c>
      <c r="BA299" s="48">
        <v>-75</v>
      </c>
      <c r="BE299" s="21"/>
      <c r="BF299" s="49"/>
    </row>
    <row r="300" spans="1:59" ht="15" thickBot="1" x14ac:dyDescent="0.4">
      <c r="A300" s="56" t="s">
        <v>330</v>
      </c>
      <c r="B300" s="56" t="s">
        <v>451</v>
      </c>
      <c r="C300" s="57" t="s">
        <v>452</v>
      </c>
      <c r="D300" s="57" t="s">
        <v>454</v>
      </c>
      <c r="AA300" s="19"/>
      <c r="AB300" s="47"/>
      <c r="AO300" t="s">
        <v>1385</v>
      </c>
      <c r="AP300" s="21">
        <v>45333</v>
      </c>
      <c r="AQ300" s="48">
        <v>-97.92</v>
      </c>
      <c r="AU300" s="21"/>
      <c r="AV300" s="49"/>
      <c r="AY300" t="s">
        <v>1434</v>
      </c>
      <c r="AZ300" s="21">
        <v>45412</v>
      </c>
      <c r="BA300" s="48">
        <v>-15.6</v>
      </c>
      <c r="BE300" s="2"/>
      <c r="BF300" s="48">
        <f>SUM(BF296:BF299)</f>
        <v>-114.95</v>
      </c>
    </row>
    <row r="301" spans="1:59" ht="15" thickBot="1" x14ac:dyDescent="0.4">
      <c r="A301" s="31" t="s">
        <v>448</v>
      </c>
      <c r="B301" s="48">
        <f>C188+C197+C215+C225+C249+C255+C262+C275</f>
        <v>-1741.25</v>
      </c>
      <c r="C301" s="48">
        <f>'Work Hours '!Q46</f>
        <v>2590.25</v>
      </c>
      <c r="AA301" s="19"/>
      <c r="AB301" s="47"/>
      <c r="AE301" s="31"/>
      <c r="AO301" t="s">
        <v>1385</v>
      </c>
      <c r="AP301" s="21">
        <v>45339</v>
      </c>
      <c r="AQ301" s="48">
        <v>-30.57</v>
      </c>
      <c r="AU301" s="2"/>
      <c r="AV301" s="48">
        <f>SUM(AV294:AV300)</f>
        <v>-275.83999999999997</v>
      </c>
      <c r="AZ301" s="21"/>
      <c r="BA301" s="49"/>
    </row>
    <row r="302" spans="1:59" x14ac:dyDescent="0.35">
      <c r="A302" s="31" t="s">
        <v>456</v>
      </c>
      <c r="B302" s="48">
        <f>H188+H196+H214+H221+H243+H249++H256+H262+H271</f>
        <v>-1727.68</v>
      </c>
      <c r="C302" s="48">
        <f>'Work Hours '!Q70</f>
        <v>1657</v>
      </c>
      <c r="U302" s="31"/>
      <c r="AA302" s="19"/>
      <c r="AB302" s="47"/>
      <c r="AF302" s="21"/>
      <c r="AG302" s="48"/>
      <c r="AO302" t="s">
        <v>1385</v>
      </c>
      <c r="AP302" s="21">
        <v>45347</v>
      </c>
      <c r="AQ302" s="48">
        <v>-25.29</v>
      </c>
      <c r="AZ302" s="2"/>
      <c r="BA302" s="48">
        <f>SUM(BA298:BA301)</f>
        <v>-176.6</v>
      </c>
    </row>
    <row r="303" spans="1:59" ht="15" thickBot="1" x14ac:dyDescent="0.4">
      <c r="A303" s="31" t="s">
        <v>458</v>
      </c>
      <c r="B303" s="48">
        <f>M188+M196+M215+M225+M243+M250++M263+M269+M278</f>
        <v>-1866.7399999999998</v>
      </c>
      <c r="C303" s="48">
        <f>'Work Hours '!Q106</f>
        <v>3038.75</v>
      </c>
      <c r="V303" s="19"/>
      <c r="W303" s="47"/>
      <c r="AP303" s="21"/>
      <c r="AQ303" s="49"/>
      <c r="BD303" s="157" t="s">
        <v>339</v>
      </c>
      <c r="BE303" s="51" t="s">
        <v>340</v>
      </c>
      <c r="BF303" s="51" t="s">
        <v>342</v>
      </c>
      <c r="BG303" s="51" t="s">
        <v>343</v>
      </c>
    </row>
    <row r="304" spans="1:59" x14ac:dyDescent="0.35">
      <c r="A304" s="31" t="s">
        <v>460</v>
      </c>
      <c r="B304" s="48">
        <f>R188+R195+R212+R222+R231+R237++R243+R249+R260</f>
        <v>-911.94999999999993</v>
      </c>
      <c r="C304" s="48">
        <f>'Work Hours '!Q138</f>
        <v>2964.25</v>
      </c>
      <c r="AQ304" s="48">
        <f>SUM(AQ299:AQ303)</f>
        <v>-191.54</v>
      </c>
      <c r="AT304" s="50" t="s">
        <v>442</v>
      </c>
      <c r="AU304" s="51" t="s">
        <v>340</v>
      </c>
      <c r="AV304" s="51" t="s">
        <v>342</v>
      </c>
      <c r="AW304" s="51" t="s">
        <v>343</v>
      </c>
      <c r="BD304" s="38" t="s">
        <v>157</v>
      </c>
      <c r="BE304" s="21">
        <v>45414</v>
      </c>
      <c r="BF304" s="48">
        <v>-10</v>
      </c>
    </row>
    <row r="305" spans="1:58" x14ac:dyDescent="0.35">
      <c r="A305" s="31" t="s">
        <v>462</v>
      </c>
      <c r="B305" s="48">
        <f>W188+W196+W217+W229+W244+W250++W256+W262+W273</f>
        <v>-996.32</v>
      </c>
      <c r="C305" s="48">
        <f>'Work Hours '!Q167</f>
        <v>3298</v>
      </c>
      <c r="AT305" t="s">
        <v>1421</v>
      </c>
      <c r="AU305" s="21">
        <v>45335</v>
      </c>
      <c r="AV305" s="48">
        <v>-126.57</v>
      </c>
      <c r="AY305" s="50" t="s">
        <v>339</v>
      </c>
      <c r="AZ305" s="51" t="s">
        <v>340</v>
      </c>
      <c r="BA305" s="51" t="s">
        <v>342</v>
      </c>
      <c r="BB305" s="51" t="s">
        <v>343</v>
      </c>
      <c r="BD305" s="38" t="s">
        <v>157</v>
      </c>
      <c r="BE305" s="21">
        <v>45418</v>
      </c>
      <c r="BF305" s="48">
        <v>-3</v>
      </c>
    </row>
    <row r="306" spans="1:58" ht="15" thickBot="1" x14ac:dyDescent="0.4">
      <c r="A306" s="31" t="s">
        <v>449</v>
      </c>
      <c r="B306" s="48">
        <f>AB188+AB196+AB211+AB221+AB238+AB244++AB251+AB257+AB267</f>
        <v>-963.7</v>
      </c>
      <c r="C306" s="48">
        <f>'Work Hours '!Q203</f>
        <v>3322.25</v>
      </c>
      <c r="AU306" s="21"/>
      <c r="AV306" s="49"/>
      <c r="AY306" t="s">
        <v>157</v>
      </c>
      <c r="AZ306" s="21">
        <v>45383</v>
      </c>
      <c r="BA306" s="48">
        <v>-5.21</v>
      </c>
      <c r="BD306" s="38" t="s">
        <v>157</v>
      </c>
      <c r="BE306" s="21">
        <v>45418</v>
      </c>
      <c r="BF306" s="48">
        <v>-5.34</v>
      </c>
    </row>
    <row r="307" spans="1:58" x14ac:dyDescent="0.35">
      <c r="A307" s="31" t="s">
        <v>457</v>
      </c>
      <c r="B307" s="48">
        <f>AG188+AG197+AG215+AG226+AG234+AG240++AG246+AG252+AG262</f>
        <v>-1835.44</v>
      </c>
      <c r="C307" s="48">
        <f>'Work Hours '!Q225</f>
        <v>1526.625</v>
      </c>
      <c r="AO307" s="50" t="s">
        <v>442</v>
      </c>
      <c r="AP307" s="51" t="s">
        <v>340</v>
      </c>
      <c r="AQ307" s="51" t="s">
        <v>342</v>
      </c>
      <c r="AR307" s="51" t="s">
        <v>343</v>
      </c>
      <c r="AU307" s="2"/>
      <c r="AV307" s="48">
        <f>SUM(AV305:AV306)</f>
        <v>-126.57</v>
      </c>
      <c r="AY307" t="s">
        <v>157</v>
      </c>
      <c r="AZ307" s="21">
        <v>45385</v>
      </c>
      <c r="BA307" s="48">
        <v>-5.52</v>
      </c>
      <c r="BD307" s="38" t="s">
        <v>157</v>
      </c>
      <c r="BE307" s="21">
        <v>45421</v>
      </c>
      <c r="BF307" s="48">
        <v>-10</v>
      </c>
    </row>
    <row r="308" spans="1:58" x14ac:dyDescent="0.35">
      <c r="A308" s="31" t="s">
        <v>576</v>
      </c>
      <c r="B308" s="48">
        <f>AL188+AL197+AL212+AL219+AL232+AL241++AL247+AL253+AL264</f>
        <v>-869.93</v>
      </c>
      <c r="C308" s="48">
        <f>'Work Hours '!Q255</f>
        <v>2044.5</v>
      </c>
      <c r="AO308" t="s">
        <v>1295</v>
      </c>
      <c r="AP308" s="21">
        <v>45347</v>
      </c>
      <c r="AQ308" s="48">
        <v>-19.989999999999998</v>
      </c>
      <c r="AY308" t="s">
        <v>157</v>
      </c>
      <c r="AZ308" s="21">
        <v>45386</v>
      </c>
      <c r="BA308" s="48">
        <v>-10</v>
      </c>
      <c r="BD308" s="38" t="s">
        <v>157</v>
      </c>
      <c r="BE308" s="21">
        <v>45425</v>
      </c>
      <c r="BF308" s="48">
        <v>-5.78</v>
      </c>
    </row>
    <row r="309" spans="1:58" ht="15" thickBot="1" x14ac:dyDescent="0.4">
      <c r="A309" s="31" t="s">
        <v>577</v>
      </c>
      <c r="B309" s="48">
        <f>AQ188+AQ197+AQ210+AQ230+AQ255+AQ279++AQ289+AQ295+AQ304</f>
        <v>-2345.87</v>
      </c>
      <c r="C309" s="48">
        <f>'Work Hours '!Q282</f>
        <v>1763.875</v>
      </c>
      <c r="AP309" s="21"/>
      <c r="AQ309" s="49"/>
      <c r="AY309" t="s">
        <v>157</v>
      </c>
      <c r="AZ309" s="21">
        <v>45387</v>
      </c>
      <c r="BA309" s="48">
        <v>-3</v>
      </c>
      <c r="BD309" s="38" t="s">
        <v>157</v>
      </c>
      <c r="BE309" s="21">
        <v>45426</v>
      </c>
      <c r="BF309" s="48">
        <v>-8.18</v>
      </c>
    </row>
    <row r="310" spans="1:58" x14ac:dyDescent="0.35">
      <c r="A310" s="31" t="s">
        <v>572</v>
      </c>
      <c r="B310" s="48">
        <f>AV188+AV197+AV216+AV225+AV244+AV273++AV284+AV290+AV301</f>
        <v>-1581.39</v>
      </c>
      <c r="C310" s="48">
        <f>'Work Hours '!Q313</f>
        <v>2869.625</v>
      </c>
      <c r="AQ310" s="48">
        <f>SUM(AQ308:AQ309)</f>
        <v>-19.989999999999998</v>
      </c>
      <c r="AT310" s="50" t="s">
        <v>339</v>
      </c>
      <c r="AU310" s="51" t="s">
        <v>340</v>
      </c>
      <c r="AV310" s="51" t="s">
        <v>342</v>
      </c>
      <c r="AW310" s="51" t="s">
        <v>343</v>
      </c>
      <c r="AY310" t="s">
        <v>157</v>
      </c>
      <c r="AZ310" s="21">
        <v>45387</v>
      </c>
      <c r="BA310" s="48">
        <v>-5.17</v>
      </c>
      <c r="BD310" s="38" t="s">
        <v>159</v>
      </c>
      <c r="BE310" s="21">
        <v>45427</v>
      </c>
      <c r="BF310" s="48">
        <v>-3</v>
      </c>
    </row>
    <row r="311" spans="1:58" x14ac:dyDescent="0.35">
      <c r="A311" s="31" t="s">
        <v>578</v>
      </c>
      <c r="B311" s="48">
        <f>BA188+BA197+BA215+BA225+BA252+BA270++BA277+BA283+BA294</f>
        <v>-1280.1399999999999</v>
      </c>
      <c r="C311" s="48">
        <f>'Work Hours '!Q343</f>
        <v>2336.75</v>
      </c>
      <c r="AT311" t="s">
        <v>157</v>
      </c>
      <c r="AU311" s="21">
        <v>45352</v>
      </c>
      <c r="AV311" s="48">
        <v>-5.33</v>
      </c>
      <c r="AY311" t="s">
        <v>157</v>
      </c>
      <c r="AZ311" s="21">
        <v>45390</v>
      </c>
      <c r="BA311" s="48">
        <v>-6.38</v>
      </c>
      <c r="BD311" s="38" t="s">
        <v>157</v>
      </c>
      <c r="BE311" s="21">
        <v>45428</v>
      </c>
      <c r="BF311" s="48">
        <v>-10</v>
      </c>
    </row>
    <row r="312" spans="1:58" x14ac:dyDescent="0.35">
      <c r="A312" s="31" t="s">
        <v>579</v>
      </c>
      <c r="B312" s="48">
        <f>BF188+BF197+BF218+BF229+BF250+BF267++BF274+BF280+BF292</f>
        <v>-1674.6799999999998</v>
      </c>
      <c r="C312" s="48">
        <f>'Work Hours '!Q373</f>
        <v>992.5</v>
      </c>
      <c r="AT312" t="s">
        <v>157</v>
      </c>
      <c r="AU312" s="21">
        <v>45355</v>
      </c>
      <c r="AV312" s="48">
        <v>-3</v>
      </c>
      <c r="AY312" t="s">
        <v>157</v>
      </c>
      <c r="AZ312" s="21">
        <v>45392</v>
      </c>
      <c r="BA312" s="48">
        <v>-5</v>
      </c>
      <c r="BD312" s="38" t="s">
        <v>157</v>
      </c>
      <c r="BE312" s="21">
        <v>45429</v>
      </c>
      <c r="BF312" s="48">
        <v>-5.78</v>
      </c>
    </row>
    <row r="313" spans="1:58" x14ac:dyDescent="0.35">
      <c r="A313" s="31"/>
      <c r="AO313" s="50" t="s">
        <v>339</v>
      </c>
      <c r="AP313" s="51" t="s">
        <v>340</v>
      </c>
      <c r="AQ313" s="51" t="s">
        <v>342</v>
      </c>
      <c r="AR313" s="51" t="s">
        <v>343</v>
      </c>
      <c r="AT313" t="s">
        <v>157</v>
      </c>
      <c r="AU313" s="21">
        <v>45356</v>
      </c>
      <c r="AV313" s="48">
        <v>-6.44</v>
      </c>
      <c r="AY313" t="s">
        <v>157</v>
      </c>
      <c r="AZ313" s="21">
        <v>45392</v>
      </c>
      <c r="BA313" s="48">
        <v>-10</v>
      </c>
      <c r="BD313" s="38" t="s">
        <v>157</v>
      </c>
      <c r="BE313" s="21">
        <v>45434</v>
      </c>
      <c r="BF313" s="48">
        <v>-5.2</v>
      </c>
    </row>
    <row r="314" spans="1:58" x14ac:dyDescent="0.35">
      <c r="AO314" t="s">
        <v>157</v>
      </c>
      <c r="AP314" s="21">
        <v>45327</v>
      </c>
      <c r="AQ314" s="48">
        <v>-5</v>
      </c>
      <c r="AT314" t="s">
        <v>157</v>
      </c>
      <c r="AU314" s="21">
        <v>45356</v>
      </c>
      <c r="AV314" s="48">
        <v>-5</v>
      </c>
      <c r="AY314" t="s">
        <v>159</v>
      </c>
      <c r="AZ314" s="21">
        <v>45397</v>
      </c>
      <c r="BA314" s="48">
        <v>-3</v>
      </c>
      <c r="BD314" s="38" t="s">
        <v>157</v>
      </c>
      <c r="BE314" s="21">
        <v>45435</v>
      </c>
      <c r="BF314" s="48">
        <v>-10</v>
      </c>
    </row>
    <row r="315" spans="1:58" x14ac:dyDescent="0.35">
      <c r="AO315" t="s">
        <v>157</v>
      </c>
      <c r="AP315" s="21">
        <v>45327</v>
      </c>
      <c r="AQ315" s="48">
        <v>-3</v>
      </c>
      <c r="AT315" t="s">
        <v>157</v>
      </c>
      <c r="AU315" s="21">
        <v>45356</v>
      </c>
      <c r="AV315" s="48">
        <v>-5.82</v>
      </c>
      <c r="AY315" t="s">
        <v>157</v>
      </c>
      <c r="AZ315" s="21">
        <v>45397</v>
      </c>
      <c r="BA315" s="48">
        <v>-5.71</v>
      </c>
      <c r="BD315" s="38" t="s">
        <v>1389</v>
      </c>
      <c r="BE315" s="21">
        <v>45438</v>
      </c>
      <c r="BF315" s="48">
        <v>-34.950000000000003</v>
      </c>
    </row>
    <row r="316" spans="1:58" x14ac:dyDescent="0.35">
      <c r="AO316" t="s">
        <v>157</v>
      </c>
      <c r="AP316" s="21">
        <v>45328</v>
      </c>
      <c r="AQ316" s="48">
        <v>-5.26</v>
      </c>
      <c r="AT316" t="s">
        <v>157</v>
      </c>
      <c r="AU316" s="21">
        <v>45363</v>
      </c>
      <c r="AV316" s="48">
        <v>-5.15</v>
      </c>
      <c r="AY316" t="s">
        <v>157</v>
      </c>
      <c r="AZ316" s="21">
        <v>45398</v>
      </c>
      <c r="BA316" s="48">
        <v>-5</v>
      </c>
      <c r="BD316" s="38" t="s">
        <v>557</v>
      </c>
      <c r="BE316" s="21">
        <v>45439</v>
      </c>
      <c r="BF316" s="48">
        <v>-2.75</v>
      </c>
    </row>
    <row r="317" spans="1:58" x14ac:dyDescent="0.35">
      <c r="AO317" t="s">
        <v>157</v>
      </c>
      <c r="AP317" s="21">
        <v>45330</v>
      </c>
      <c r="AQ317" s="48">
        <v>-5</v>
      </c>
      <c r="AT317" t="s">
        <v>157</v>
      </c>
      <c r="AU317" s="21">
        <v>45364</v>
      </c>
      <c r="AV317" s="48">
        <v>-5.57</v>
      </c>
      <c r="AY317" t="s">
        <v>157</v>
      </c>
      <c r="AZ317" s="21">
        <v>45400</v>
      </c>
      <c r="BA317" s="48">
        <v>-10</v>
      </c>
      <c r="BD317" s="38" t="s">
        <v>157</v>
      </c>
      <c r="BE317" s="21">
        <v>45441</v>
      </c>
      <c r="BF317" s="48">
        <v>-5.42</v>
      </c>
    </row>
    <row r="318" spans="1:58" x14ac:dyDescent="0.35">
      <c r="AO318" t="s">
        <v>157</v>
      </c>
      <c r="AP318" s="21">
        <v>45331</v>
      </c>
      <c r="AQ318" s="48">
        <v>-6.51</v>
      </c>
      <c r="AT318" t="s">
        <v>157</v>
      </c>
      <c r="AU318" s="21">
        <v>45365</v>
      </c>
      <c r="AV318" s="48">
        <v>-5</v>
      </c>
      <c r="AY318" t="s">
        <v>157</v>
      </c>
      <c r="AZ318" s="21">
        <v>45401</v>
      </c>
      <c r="BA318" s="48">
        <v>-6.47</v>
      </c>
      <c r="BD318" s="38" t="s">
        <v>157</v>
      </c>
      <c r="BE318" s="21">
        <v>45442</v>
      </c>
      <c r="BF318" s="48">
        <v>-10</v>
      </c>
    </row>
    <row r="319" spans="1:58" x14ac:dyDescent="0.35">
      <c r="AO319" t="s">
        <v>157</v>
      </c>
      <c r="AP319" s="21">
        <v>45334</v>
      </c>
      <c r="AQ319" s="48">
        <v>-6.49</v>
      </c>
      <c r="AT319" t="s">
        <v>159</v>
      </c>
      <c r="AU319" s="21">
        <v>45366</v>
      </c>
      <c r="AV319" s="48">
        <v>-3</v>
      </c>
      <c r="AY319" t="s">
        <v>157</v>
      </c>
      <c r="AZ319" s="21">
        <v>45407</v>
      </c>
      <c r="BA319" s="48">
        <v>-10</v>
      </c>
      <c r="BD319" s="38" t="s">
        <v>157</v>
      </c>
      <c r="BE319" s="21">
        <v>45443</v>
      </c>
      <c r="BF319" s="48">
        <v>-5.7</v>
      </c>
    </row>
    <row r="320" spans="1:58" x14ac:dyDescent="0.35">
      <c r="AO320" t="s">
        <v>159</v>
      </c>
      <c r="AP320" s="21">
        <v>45337</v>
      </c>
      <c r="AQ320" s="48">
        <v>-3</v>
      </c>
      <c r="AT320" t="s">
        <v>157</v>
      </c>
      <c r="AU320" s="21">
        <v>45369</v>
      </c>
      <c r="AV320" s="48">
        <v>-5.36</v>
      </c>
      <c r="AY320" t="s">
        <v>157</v>
      </c>
      <c r="AZ320" s="21">
        <v>45407</v>
      </c>
      <c r="BA320" s="48">
        <v>-5.0599999999999996</v>
      </c>
      <c r="BE320" s="21"/>
      <c r="BF320" s="48"/>
    </row>
    <row r="321" spans="41:58" ht="15" thickBot="1" x14ac:dyDescent="0.4">
      <c r="AO321" t="s">
        <v>157</v>
      </c>
      <c r="AP321" s="21">
        <v>45337</v>
      </c>
      <c r="AQ321" s="48">
        <v>-5</v>
      </c>
      <c r="AT321" t="s">
        <v>157</v>
      </c>
      <c r="AU321" s="21">
        <v>45372</v>
      </c>
      <c r="AV321" s="48">
        <v>-5</v>
      </c>
      <c r="AY321" t="s">
        <v>1389</v>
      </c>
      <c r="AZ321" s="21">
        <v>45408</v>
      </c>
      <c r="BA321" s="48">
        <v>-34.950000000000003</v>
      </c>
      <c r="BE321" s="21"/>
      <c r="BF321" s="49"/>
    </row>
    <row r="322" spans="41:58" x14ac:dyDescent="0.35">
      <c r="AO322" t="s">
        <v>157</v>
      </c>
      <c r="AP322" s="21">
        <v>45342</v>
      </c>
      <c r="AQ322" s="48">
        <v>-5.45</v>
      </c>
      <c r="AT322" t="s">
        <v>157</v>
      </c>
      <c r="AU322" s="21">
        <v>45376</v>
      </c>
      <c r="AV322" s="48">
        <v>-5.56</v>
      </c>
      <c r="AY322" t="s">
        <v>557</v>
      </c>
      <c r="AZ322" s="21">
        <v>45408</v>
      </c>
      <c r="BA322" s="48">
        <v>-5</v>
      </c>
      <c r="BF322" s="48">
        <f>SUM(BF304:BF321)</f>
        <v>-135.1</v>
      </c>
    </row>
    <row r="323" spans="41:58" ht="15" thickBot="1" x14ac:dyDescent="0.4">
      <c r="AO323" t="s">
        <v>157</v>
      </c>
      <c r="AP323" s="21">
        <v>45343</v>
      </c>
      <c r="AQ323" s="48">
        <v>-5.12</v>
      </c>
      <c r="AT323" t="s">
        <v>157</v>
      </c>
      <c r="AU323" s="21">
        <v>45377</v>
      </c>
      <c r="AV323" s="48">
        <v>-6.17</v>
      </c>
      <c r="AY323" t="s">
        <v>157</v>
      </c>
      <c r="AZ323" s="21">
        <v>45412</v>
      </c>
      <c r="BA323" s="48">
        <v>-5.36</v>
      </c>
    </row>
    <row r="324" spans="41:58" x14ac:dyDescent="0.35">
      <c r="AO324" t="s">
        <v>157</v>
      </c>
      <c r="AP324" s="21">
        <v>45344</v>
      </c>
      <c r="AQ324" s="48">
        <v>-5</v>
      </c>
      <c r="AT324" t="s">
        <v>557</v>
      </c>
      <c r="AU324" s="21">
        <v>45377</v>
      </c>
      <c r="AV324" s="48">
        <v>-4.75</v>
      </c>
      <c r="BA324" s="55">
        <f>SUM(BA306:BA323)</f>
        <v>-140.83000000000004</v>
      </c>
    </row>
    <row r="325" spans="41:58" x14ac:dyDescent="0.35">
      <c r="AO325" t="s">
        <v>1419</v>
      </c>
      <c r="AP325" s="21">
        <v>45348</v>
      </c>
      <c r="AQ325" s="48">
        <v>-34.950000000000003</v>
      </c>
      <c r="AT325" t="s">
        <v>1389</v>
      </c>
      <c r="AU325" s="21">
        <v>45378</v>
      </c>
      <c r="AV325" s="48">
        <v>-34.950000000000003</v>
      </c>
    </row>
    <row r="326" spans="41:58" ht="15" thickBot="1" x14ac:dyDescent="0.4">
      <c r="AO326" t="s">
        <v>157</v>
      </c>
      <c r="AP326" s="21">
        <v>45348</v>
      </c>
      <c r="AQ326" s="48">
        <v>-5.2</v>
      </c>
      <c r="AT326" t="s">
        <v>157</v>
      </c>
      <c r="AU326" s="21">
        <v>45379</v>
      </c>
      <c r="AV326" s="48">
        <v>-10</v>
      </c>
    </row>
    <row r="327" spans="41:58" x14ac:dyDescent="0.35">
      <c r="AO327" t="s">
        <v>557</v>
      </c>
      <c r="AP327" s="21">
        <v>45348</v>
      </c>
      <c r="AQ327" s="48">
        <v>-5</v>
      </c>
      <c r="AV327" s="55">
        <f>SUM(AV311:AV326)</f>
        <v>-116.10000000000001</v>
      </c>
    </row>
    <row r="328" spans="41:58" ht="15" thickBot="1" x14ac:dyDescent="0.4">
      <c r="AO328" t="s">
        <v>157</v>
      </c>
      <c r="AP328" s="21">
        <v>45351</v>
      </c>
      <c r="AQ328" s="48">
        <v>-5</v>
      </c>
    </row>
    <row r="329" spans="41:58" x14ac:dyDescent="0.35">
      <c r="AQ329" s="55">
        <f>SUM(AQ314:AQ328)</f>
        <v>-104.98</v>
      </c>
    </row>
  </sheetData>
  <mergeCells count="26">
    <mergeCell ref="BD5:BG6"/>
    <mergeCell ref="AE5:AH6"/>
    <mergeCell ref="AJ5:AM6"/>
    <mergeCell ref="AO5:AR6"/>
    <mergeCell ref="AT5:AW6"/>
    <mergeCell ref="AY5:BB6"/>
    <mergeCell ref="P5:S6"/>
    <mergeCell ref="U5:X6"/>
    <mergeCell ref="P177:S178"/>
    <mergeCell ref="U177:X178"/>
    <mergeCell ref="Z5:AC6"/>
    <mergeCell ref="A1:D1"/>
    <mergeCell ref="A2:D2"/>
    <mergeCell ref="A5:D6"/>
    <mergeCell ref="F5:I6"/>
    <mergeCell ref="K177:N178"/>
    <mergeCell ref="A177:D178"/>
    <mergeCell ref="F177:I178"/>
    <mergeCell ref="K5:N6"/>
    <mergeCell ref="AY177:BB178"/>
    <mergeCell ref="BD177:BG178"/>
    <mergeCell ref="Z177:AC178"/>
    <mergeCell ref="AE177:AH178"/>
    <mergeCell ref="AJ177:AM178"/>
    <mergeCell ref="AO177:AR178"/>
    <mergeCell ref="AT177:AW17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3D4A-8B68-492F-960B-EC655EE91B96}">
  <sheetPr codeName="Sheet5">
    <tabColor theme="3" tint="0.59999389629810485"/>
  </sheetPr>
  <dimension ref="A1:AF375"/>
  <sheetViews>
    <sheetView topLeftCell="A43" zoomScale="64" zoomScaleNormal="77" workbookViewId="0">
      <selection activeCell="H6" sqref="H6"/>
    </sheetView>
  </sheetViews>
  <sheetFormatPr defaultRowHeight="14.5" x14ac:dyDescent="0.35"/>
  <cols>
    <col min="1" max="1" width="25.6328125" bestFit="1" customWidth="1"/>
    <col min="2" max="2" width="6.1796875" bestFit="1" customWidth="1"/>
    <col min="3" max="3" width="10.81640625" bestFit="1" customWidth="1"/>
    <col min="4" max="4" width="9.453125" bestFit="1" customWidth="1"/>
    <col min="5" max="5" width="8.54296875" bestFit="1" customWidth="1"/>
    <col min="6" max="6" width="14.54296875" bestFit="1" customWidth="1"/>
    <col min="7" max="7" width="9.453125" bestFit="1" customWidth="1"/>
    <col min="8" max="8" width="33.6328125" bestFit="1" customWidth="1"/>
    <col min="11" max="11" width="23" customWidth="1"/>
    <col min="12" max="12" width="5.90625" bestFit="1" customWidth="1"/>
    <col min="13" max="13" width="10.81640625" bestFit="1" customWidth="1"/>
    <col min="14" max="14" width="10.6328125" customWidth="1"/>
    <col min="15" max="15" width="11.6328125" customWidth="1"/>
    <col min="16" max="16" width="14.54296875" customWidth="1"/>
    <col min="17" max="17" width="11.08984375" customWidth="1"/>
    <col min="18" max="18" width="28.1796875" customWidth="1"/>
    <col min="19" max="19" width="14.36328125" customWidth="1"/>
    <col min="20" max="20" width="18" customWidth="1"/>
    <col min="21" max="21" width="12.453125" customWidth="1"/>
    <col min="23" max="23" width="21.26953125" customWidth="1"/>
    <col min="25" max="25" width="16.90625" bestFit="1" customWidth="1"/>
    <col min="26" max="26" width="5.90625" bestFit="1" customWidth="1"/>
    <col min="27" max="27" width="11.90625" bestFit="1" customWidth="1"/>
    <col min="28" max="28" width="8.6328125" bestFit="1" customWidth="1"/>
    <col min="30" max="30" width="17.81640625" customWidth="1"/>
  </cols>
  <sheetData>
    <row r="1" spans="1:32" ht="23.5" x14ac:dyDescent="0.55000000000000004">
      <c r="A1" s="169" t="s">
        <v>1448</v>
      </c>
      <c r="B1" s="169"/>
      <c r="C1" s="169"/>
      <c r="D1" s="169"/>
    </row>
    <row r="2" spans="1:32" ht="18.5" x14ac:dyDescent="0.45">
      <c r="A2" s="170" t="s">
        <v>590</v>
      </c>
      <c r="B2" s="170"/>
      <c r="C2" s="170"/>
      <c r="D2" s="170"/>
    </row>
    <row r="4" spans="1:32" ht="18.5" x14ac:dyDescent="0.45">
      <c r="A4" s="65" t="s">
        <v>896</v>
      </c>
    </row>
    <row r="5" spans="1:32" x14ac:dyDescent="0.35">
      <c r="A5" s="31" t="s">
        <v>591</v>
      </c>
    </row>
    <row r="6" spans="1:32" x14ac:dyDescent="0.35">
      <c r="A6" s="61" t="s">
        <v>592</v>
      </c>
      <c r="B6" s="62" t="s">
        <v>593</v>
      </c>
      <c r="C6" s="62" t="s">
        <v>594</v>
      </c>
      <c r="D6" s="62" t="s">
        <v>343</v>
      </c>
    </row>
    <row r="7" spans="1:32" x14ac:dyDescent="0.35">
      <c r="A7" t="s">
        <v>595</v>
      </c>
    </row>
    <row r="8" spans="1:32" x14ac:dyDescent="0.35">
      <c r="A8" s="19" t="s">
        <v>807</v>
      </c>
      <c r="B8">
        <v>2</v>
      </c>
      <c r="C8" s="4">
        <v>40</v>
      </c>
    </row>
    <row r="9" spans="1:32" ht="15" thickBot="1" x14ac:dyDescent="0.4">
      <c r="A9" t="s">
        <v>808</v>
      </c>
      <c r="C9" s="4">
        <v>25</v>
      </c>
    </row>
    <row r="10" spans="1:32" x14ac:dyDescent="0.35">
      <c r="C10" s="55">
        <f>SUM(C6:C9)</f>
        <v>65</v>
      </c>
    </row>
    <row r="12" spans="1:32" ht="18.5" x14ac:dyDescent="0.45">
      <c r="A12" s="132" t="s">
        <v>949</v>
      </c>
      <c r="C12" t="s">
        <v>596</v>
      </c>
      <c r="K12" s="132" t="s">
        <v>950</v>
      </c>
      <c r="U12" s="65" t="s">
        <v>1445</v>
      </c>
      <c r="AD12" s="65"/>
    </row>
    <row r="13" spans="1:32" x14ac:dyDescent="0.35">
      <c r="A13" s="31" t="s">
        <v>886</v>
      </c>
      <c r="C13" t="s">
        <v>597</v>
      </c>
      <c r="K13" s="31" t="s">
        <v>948</v>
      </c>
      <c r="M13" t="s">
        <v>597</v>
      </c>
      <c r="U13" s="31" t="s">
        <v>816</v>
      </c>
      <c r="W13" t="s">
        <v>818</v>
      </c>
      <c r="AD13" s="31"/>
    </row>
    <row r="14" spans="1:32" x14ac:dyDescent="0.35">
      <c r="A14" s="61" t="s">
        <v>598</v>
      </c>
      <c r="B14" s="62" t="s">
        <v>593</v>
      </c>
      <c r="C14" s="62" t="s">
        <v>594</v>
      </c>
      <c r="D14" s="62" t="s">
        <v>599</v>
      </c>
      <c r="E14" s="62" t="s">
        <v>600</v>
      </c>
      <c r="F14" s="62" t="s">
        <v>601</v>
      </c>
      <c r="G14" s="62" t="s">
        <v>325</v>
      </c>
      <c r="H14" s="62" t="s">
        <v>343</v>
      </c>
      <c r="K14" s="61" t="s">
        <v>598</v>
      </c>
      <c r="L14" s="62" t="s">
        <v>593</v>
      </c>
      <c r="M14" s="62" t="s">
        <v>594</v>
      </c>
      <c r="N14" s="62" t="s">
        <v>599</v>
      </c>
      <c r="O14" s="62" t="s">
        <v>600</v>
      </c>
      <c r="P14" s="62" t="s">
        <v>601</v>
      </c>
      <c r="Q14" s="62" t="s">
        <v>325</v>
      </c>
      <c r="R14" s="62" t="s">
        <v>343</v>
      </c>
      <c r="S14" s="150"/>
      <c r="U14" s="61" t="s">
        <v>817</v>
      </c>
      <c r="V14" s="62" t="s">
        <v>593</v>
      </c>
      <c r="W14" s="62" t="s">
        <v>594</v>
      </c>
      <c r="AD14" s="152"/>
      <c r="AE14" s="150"/>
      <c r="AF14" s="150"/>
    </row>
    <row r="15" spans="1:32" x14ac:dyDescent="0.35">
      <c r="A15" s="31" t="s">
        <v>602</v>
      </c>
      <c r="K15" s="31" t="s">
        <v>976</v>
      </c>
      <c r="U15" t="s">
        <v>823</v>
      </c>
    </row>
    <row r="16" spans="1:32" x14ac:dyDescent="0.35">
      <c r="A16" t="s">
        <v>603</v>
      </c>
      <c r="B16">
        <v>6</v>
      </c>
      <c r="C16" s="4">
        <f>B16*8.5</f>
        <v>51</v>
      </c>
      <c r="D16" s="4">
        <v>45</v>
      </c>
      <c r="F16" s="4">
        <f>(C16+D16)/B16</f>
        <v>16</v>
      </c>
      <c r="G16" s="4">
        <f>C16+D16</f>
        <v>96</v>
      </c>
      <c r="K16" t="s">
        <v>945</v>
      </c>
      <c r="L16">
        <v>7.5</v>
      </c>
      <c r="M16" s="4">
        <f>L16*5</f>
        <v>37.5</v>
      </c>
      <c r="N16" s="4">
        <v>120</v>
      </c>
      <c r="P16" s="4">
        <f t="shared" ref="P16:P21" si="0">(M16+N16)/L16</f>
        <v>21</v>
      </c>
      <c r="Q16" s="4">
        <f t="shared" ref="Q16:Q21" si="1">M16+N16</f>
        <v>157.5</v>
      </c>
      <c r="U16" t="s">
        <v>819</v>
      </c>
      <c r="V16">
        <v>3.5</v>
      </c>
      <c r="W16" s="48">
        <f>V16*14</f>
        <v>49</v>
      </c>
    </row>
    <row r="17" spans="1:29" ht="15" thickBot="1" x14ac:dyDescent="0.4">
      <c r="A17" t="s">
        <v>604</v>
      </c>
      <c r="B17">
        <v>6</v>
      </c>
      <c r="C17" s="4">
        <f>B17*8.5</f>
        <v>51</v>
      </c>
      <c r="D17" s="4">
        <v>33</v>
      </c>
      <c r="F17" s="4">
        <f>(C17+D17)/B17</f>
        <v>14</v>
      </c>
      <c r="G17" s="4">
        <f>C17+D17</f>
        <v>84</v>
      </c>
      <c r="K17" t="s">
        <v>946</v>
      </c>
      <c r="L17">
        <v>6.5</v>
      </c>
      <c r="M17" s="4">
        <f>L17*5</f>
        <v>32.5</v>
      </c>
      <c r="N17" s="4">
        <v>88</v>
      </c>
      <c r="P17" s="4">
        <f t="shared" si="0"/>
        <v>18.53846153846154</v>
      </c>
      <c r="Q17" s="4">
        <f t="shared" si="1"/>
        <v>120.5</v>
      </c>
      <c r="U17" t="s">
        <v>820</v>
      </c>
      <c r="V17">
        <v>5</v>
      </c>
      <c r="W17" s="48">
        <f>V17*14</f>
        <v>70</v>
      </c>
    </row>
    <row r="18" spans="1:29" ht="15" thickBot="1" x14ac:dyDescent="0.4">
      <c r="A18" t="s">
        <v>605</v>
      </c>
      <c r="B18">
        <v>6.5</v>
      </c>
      <c r="C18" s="4">
        <f>B18*14.5</f>
        <v>94.25</v>
      </c>
      <c r="D18" s="4">
        <v>47</v>
      </c>
      <c r="F18" s="4">
        <f>(C18+D18)/B18</f>
        <v>21.73076923076923</v>
      </c>
      <c r="G18" s="4">
        <f>C18+D18</f>
        <v>141.25</v>
      </c>
      <c r="H18" t="s">
        <v>606</v>
      </c>
      <c r="K18" t="s">
        <v>953</v>
      </c>
      <c r="L18">
        <v>6</v>
      </c>
      <c r="M18" s="4">
        <f>L18*5</f>
        <v>30</v>
      </c>
      <c r="N18" s="4">
        <v>74</v>
      </c>
      <c r="P18" s="4">
        <f t="shared" si="0"/>
        <v>17.333333333333332</v>
      </c>
      <c r="Q18" s="4">
        <f t="shared" si="1"/>
        <v>104</v>
      </c>
      <c r="V18" s="63">
        <f>SUM(V16:V17)</f>
        <v>8.5</v>
      </c>
      <c r="W18" s="55">
        <f>SUM(W16:W17)</f>
        <v>119</v>
      </c>
    </row>
    <row r="19" spans="1:29" x14ac:dyDescent="0.35">
      <c r="B19" s="63">
        <f>SUM(B15:B18)</f>
        <v>18.5</v>
      </c>
      <c r="C19" s="55">
        <f>SUM(C15:C18)</f>
        <v>196.25</v>
      </c>
      <c r="D19" s="55">
        <f>SUM(D15:D18)</f>
        <v>125</v>
      </c>
      <c r="E19" s="55">
        <f>SUM(E15:E18)</f>
        <v>0</v>
      </c>
      <c r="F19" s="54">
        <f>(C19+D19)/B19</f>
        <v>17.364864864864863</v>
      </c>
      <c r="G19" s="54">
        <f>C19+D19</f>
        <v>321.25</v>
      </c>
      <c r="K19" t="s">
        <v>952</v>
      </c>
      <c r="L19">
        <v>7.5</v>
      </c>
      <c r="M19" s="4">
        <f>L19*15</f>
        <v>112.5</v>
      </c>
      <c r="N19" s="4"/>
      <c r="P19" s="4">
        <f t="shared" si="0"/>
        <v>15</v>
      </c>
      <c r="Q19" s="4">
        <f t="shared" si="1"/>
        <v>112.5</v>
      </c>
    </row>
    <row r="20" spans="1:29" ht="15" thickBot="1" x14ac:dyDescent="0.4">
      <c r="A20" s="31" t="s">
        <v>607</v>
      </c>
      <c r="K20" t="s">
        <v>951</v>
      </c>
      <c r="L20">
        <v>8.5</v>
      </c>
      <c r="M20" s="4">
        <f>(3.5*5)+(5*15)</f>
        <v>92.5</v>
      </c>
      <c r="N20" s="4">
        <v>16</v>
      </c>
      <c r="P20" s="4">
        <f t="shared" si="0"/>
        <v>12.764705882352942</v>
      </c>
      <c r="Q20" s="4">
        <f t="shared" si="1"/>
        <v>108.5</v>
      </c>
      <c r="R20" t="s">
        <v>947</v>
      </c>
      <c r="U20" s="16" t="s">
        <v>821</v>
      </c>
      <c r="V20" s="31">
        <f>V18</f>
        <v>8.5</v>
      </c>
      <c r="W20" s="13">
        <f>W18</f>
        <v>119</v>
      </c>
    </row>
    <row r="21" spans="1:29" x14ac:dyDescent="0.35">
      <c r="A21" t="s">
        <v>608</v>
      </c>
      <c r="B21">
        <v>6</v>
      </c>
      <c r="C21" s="4">
        <f>B21*8.5</f>
        <v>51</v>
      </c>
      <c r="D21" s="4">
        <v>53</v>
      </c>
      <c r="F21" s="4">
        <f>(C21+D21)/B21</f>
        <v>17.333333333333332</v>
      </c>
      <c r="G21" s="4">
        <f>C21+D21</f>
        <v>104</v>
      </c>
      <c r="L21" s="63">
        <f>SUM(L15:L20)</f>
        <v>36</v>
      </c>
      <c r="M21" s="55">
        <f>SUM(M15:M20)</f>
        <v>305</v>
      </c>
      <c r="N21" s="55">
        <f>SUM(N15:N20)</f>
        <v>298</v>
      </c>
      <c r="O21" s="55">
        <f>SUM(O15:O20)</f>
        <v>0</v>
      </c>
      <c r="P21" s="54">
        <f t="shared" si="0"/>
        <v>16.75</v>
      </c>
      <c r="Q21" s="54">
        <f t="shared" si="1"/>
        <v>603</v>
      </c>
    </row>
    <row r="22" spans="1:29" x14ac:dyDescent="0.35">
      <c r="A22" t="s">
        <v>609</v>
      </c>
      <c r="B22">
        <v>6.5</v>
      </c>
      <c r="C22" s="4">
        <f>B22*8.5</f>
        <v>55.25</v>
      </c>
      <c r="D22" s="4">
        <v>33</v>
      </c>
      <c r="F22" s="4">
        <f>(C22+D22)/B22</f>
        <v>13.576923076923077</v>
      </c>
      <c r="G22" s="4">
        <f>C22+D22</f>
        <v>88.25</v>
      </c>
      <c r="H22" t="s">
        <v>610</v>
      </c>
      <c r="K22" s="31" t="s">
        <v>977</v>
      </c>
      <c r="AC22" s="4"/>
    </row>
    <row r="23" spans="1:29" x14ac:dyDescent="0.35">
      <c r="A23" t="s">
        <v>611</v>
      </c>
      <c r="B23">
        <v>7.5</v>
      </c>
      <c r="C23" s="4">
        <f>B23*8.5</f>
        <v>63.75</v>
      </c>
      <c r="D23" s="4">
        <v>67</v>
      </c>
      <c r="F23" s="4">
        <f>(C23+D23)/B23</f>
        <v>17.433333333333334</v>
      </c>
      <c r="G23" s="4">
        <f>C23+D23</f>
        <v>130.75</v>
      </c>
      <c r="K23" t="s">
        <v>954</v>
      </c>
      <c r="L23">
        <v>6</v>
      </c>
      <c r="M23" s="4">
        <f>L23*5</f>
        <v>30</v>
      </c>
      <c r="N23" s="4">
        <v>119</v>
      </c>
      <c r="O23">
        <v>165</v>
      </c>
      <c r="P23" s="4">
        <f>(M23+N23)/L23</f>
        <v>24.833333333333332</v>
      </c>
      <c r="Q23" s="4">
        <f>M23+N23</f>
        <v>149</v>
      </c>
      <c r="U23" s="31" t="s">
        <v>822</v>
      </c>
      <c r="W23" t="s">
        <v>818</v>
      </c>
    </row>
    <row r="24" spans="1:29" ht="15" thickBot="1" x14ac:dyDescent="0.4">
      <c r="A24" t="s">
        <v>612</v>
      </c>
      <c r="B24">
        <v>4.5</v>
      </c>
      <c r="C24" s="4">
        <f>B24*8.5</f>
        <v>38.25</v>
      </c>
      <c r="D24" s="4">
        <v>24</v>
      </c>
      <c r="E24" s="4">
        <v>239</v>
      </c>
      <c r="F24" s="4">
        <f>(C24+D24)/B24</f>
        <v>13.833333333333334</v>
      </c>
      <c r="G24" s="4">
        <f>C24+D24</f>
        <v>62.25</v>
      </c>
      <c r="H24" t="s">
        <v>613</v>
      </c>
      <c r="K24" t="s">
        <v>955</v>
      </c>
      <c r="L24">
        <v>5.5</v>
      </c>
      <c r="M24" s="4">
        <f>L24*15</f>
        <v>82.5</v>
      </c>
      <c r="N24" s="4"/>
      <c r="P24" s="4">
        <f>(M24+N24)/L24</f>
        <v>15</v>
      </c>
      <c r="Q24" s="4">
        <f>M24+N24</f>
        <v>82.5</v>
      </c>
      <c r="U24" s="61" t="s">
        <v>817</v>
      </c>
      <c r="V24" s="62" t="s">
        <v>593</v>
      </c>
      <c r="W24" s="62" t="s">
        <v>594</v>
      </c>
    </row>
    <row r="25" spans="1:29" x14ac:dyDescent="0.35">
      <c r="B25" s="63">
        <f>SUM(B21:B24)</f>
        <v>24.5</v>
      </c>
      <c r="C25" s="55">
        <f>SUM(C21:C24)</f>
        <v>208.25</v>
      </c>
      <c r="D25" s="55">
        <f>SUM(D21:D24)</f>
        <v>177</v>
      </c>
      <c r="E25" s="55">
        <f>SUM(E21:E24)</f>
        <v>239</v>
      </c>
      <c r="F25" s="54">
        <f>(C25+D25)/B25</f>
        <v>15.724489795918368</v>
      </c>
      <c r="G25" s="54">
        <f>C25+D25</f>
        <v>385.25</v>
      </c>
      <c r="H25" s="4">
        <v>624.25</v>
      </c>
      <c r="K25" t="s">
        <v>956</v>
      </c>
      <c r="L25">
        <v>7</v>
      </c>
      <c r="M25" s="4">
        <f>L25*10</f>
        <v>70</v>
      </c>
      <c r="N25" s="4">
        <v>64</v>
      </c>
      <c r="P25" s="4">
        <f>(M25+N25)/L25</f>
        <v>19.142857142857142</v>
      </c>
      <c r="Q25" s="4">
        <f>M25+N25</f>
        <v>134</v>
      </c>
      <c r="U25" t="s">
        <v>825</v>
      </c>
    </row>
    <row r="26" spans="1:29" ht="15" thickBot="1" x14ac:dyDescent="0.4">
      <c r="A26" s="31" t="s">
        <v>614</v>
      </c>
      <c r="K26" t="s">
        <v>957</v>
      </c>
      <c r="L26">
        <v>5.5</v>
      </c>
      <c r="M26" s="4">
        <f>L26*10</f>
        <v>55</v>
      </c>
      <c r="N26" s="4">
        <v>54</v>
      </c>
      <c r="P26" s="4">
        <f>(M26+N26)/L26</f>
        <v>19.818181818181817</v>
      </c>
      <c r="Q26" s="4">
        <f>M26+N26</f>
        <v>109</v>
      </c>
      <c r="U26" t="s">
        <v>824</v>
      </c>
      <c r="V26">
        <v>1</v>
      </c>
      <c r="W26" s="48">
        <f>V26*14</f>
        <v>14</v>
      </c>
    </row>
    <row r="27" spans="1:29" x14ac:dyDescent="0.35">
      <c r="A27" t="s">
        <v>615</v>
      </c>
      <c r="B27">
        <v>6</v>
      </c>
      <c r="C27" s="4">
        <f>B27*10</f>
        <v>60</v>
      </c>
      <c r="D27" s="4">
        <v>56</v>
      </c>
      <c r="F27" s="4">
        <f>(C27+D27)/B27</f>
        <v>19.333333333333332</v>
      </c>
      <c r="G27" s="4">
        <f>C27+D27</f>
        <v>116</v>
      </c>
      <c r="H27" t="s">
        <v>616</v>
      </c>
      <c r="L27" s="63">
        <f>SUM(L22:L26)</f>
        <v>24</v>
      </c>
      <c r="M27" s="55">
        <f>SUM(M22:M26)</f>
        <v>237.5</v>
      </c>
      <c r="N27" s="55">
        <f>SUM(N22:N26)</f>
        <v>237</v>
      </c>
      <c r="O27" s="55">
        <f>SUM(O22:O26)</f>
        <v>165</v>
      </c>
      <c r="P27" s="54">
        <f>(M27+N27)/L27</f>
        <v>19.770833333333332</v>
      </c>
      <c r="Q27" s="54">
        <f>M27+N27</f>
        <v>474.5</v>
      </c>
      <c r="V27" s="63">
        <f>SUM(V26:V26)</f>
        <v>1</v>
      </c>
      <c r="W27" s="55">
        <f>SUM(W26:W26)</f>
        <v>14</v>
      </c>
    </row>
    <row r="28" spans="1:29" x14ac:dyDescent="0.35">
      <c r="A28" t="s">
        <v>617</v>
      </c>
      <c r="B28">
        <v>5.5</v>
      </c>
      <c r="C28" s="4">
        <f>B28*14.5</f>
        <v>79.75</v>
      </c>
      <c r="D28" s="4">
        <v>0</v>
      </c>
      <c r="F28" s="4">
        <f>(C28+D28)/B28</f>
        <v>14.5</v>
      </c>
      <c r="G28" s="4">
        <f>C28+D28</f>
        <v>79.75</v>
      </c>
      <c r="K28" s="31" t="s">
        <v>978</v>
      </c>
    </row>
    <row r="29" spans="1:29" x14ac:dyDescent="0.35">
      <c r="A29" t="s">
        <v>618</v>
      </c>
      <c r="B29">
        <v>6.5</v>
      </c>
      <c r="C29" s="4">
        <f>B29*10</f>
        <v>65</v>
      </c>
      <c r="D29" s="4">
        <v>49</v>
      </c>
      <c r="F29" s="4">
        <f>(C29+D29)/B29</f>
        <v>17.53846153846154</v>
      </c>
      <c r="G29" s="4">
        <f>C29+D29</f>
        <v>114</v>
      </c>
      <c r="K29" t="s">
        <v>1002</v>
      </c>
      <c r="L29">
        <v>5.5</v>
      </c>
      <c r="M29" s="4">
        <f>L29*15</f>
        <v>82.5</v>
      </c>
      <c r="N29" s="4"/>
      <c r="P29" s="4">
        <f>(M29+N29)/L29</f>
        <v>15</v>
      </c>
      <c r="Q29" s="4">
        <f>M29+N29</f>
        <v>82.5</v>
      </c>
      <c r="U29" s="16" t="s">
        <v>821</v>
      </c>
      <c r="V29" s="31">
        <f>V27</f>
        <v>1</v>
      </c>
      <c r="W29" s="13">
        <f>W27</f>
        <v>14</v>
      </c>
    </row>
    <row r="30" spans="1:29" ht="15" thickBot="1" x14ac:dyDescent="0.4">
      <c r="A30" t="s">
        <v>619</v>
      </c>
      <c r="B30">
        <v>4</v>
      </c>
      <c r="C30" s="4">
        <f>B30*10</f>
        <v>40</v>
      </c>
      <c r="D30" s="4">
        <v>33</v>
      </c>
      <c r="F30" s="4">
        <f>(C30+D30)/B30</f>
        <v>18.25</v>
      </c>
      <c r="G30" s="4">
        <f>C30+D30</f>
        <v>73</v>
      </c>
      <c r="K30" t="s">
        <v>1003</v>
      </c>
      <c r="L30">
        <v>7.5</v>
      </c>
      <c r="M30" s="4">
        <f>L30*5</f>
        <v>37.5</v>
      </c>
      <c r="N30" s="4">
        <v>118</v>
      </c>
      <c r="P30" s="4">
        <f>(M30+N30)/L30</f>
        <v>20.733333333333334</v>
      </c>
      <c r="Q30" s="4">
        <f>M30+N30</f>
        <v>155.5</v>
      </c>
    </row>
    <row r="31" spans="1:29" x14ac:dyDescent="0.35">
      <c r="B31" s="63">
        <f>SUM(B27:B30)</f>
        <v>22</v>
      </c>
      <c r="C31" s="55">
        <f>SUM(C27:C30)</f>
        <v>244.75</v>
      </c>
      <c r="D31" s="55">
        <f>SUM(D27:D30)</f>
        <v>138</v>
      </c>
      <c r="E31" s="55">
        <f>SUM(E27:E30)</f>
        <v>0</v>
      </c>
      <c r="F31" s="54">
        <f>(C31+D31)/B31</f>
        <v>17.397727272727273</v>
      </c>
      <c r="G31" s="54">
        <f>C31+D31</f>
        <v>382.75</v>
      </c>
      <c r="K31" t="s">
        <v>1004</v>
      </c>
      <c r="L31">
        <v>5.5</v>
      </c>
      <c r="M31" s="4">
        <f>L31*10</f>
        <v>55</v>
      </c>
      <c r="N31" s="4">
        <v>41</v>
      </c>
      <c r="P31" s="4">
        <f>(M31+N31)/L31</f>
        <v>17.454545454545453</v>
      </c>
      <c r="Q31" s="4">
        <f>M31+N31</f>
        <v>96</v>
      </c>
    </row>
    <row r="32" spans="1:29" ht="15" thickBot="1" x14ac:dyDescent="0.4">
      <c r="A32" s="31" t="s">
        <v>620</v>
      </c>
      <c r="K32" t="s">
        <v>1005</v>
      </c>
      <c r="L32">
        <v>6</v>
      </c>
      <c r="M32" s="4">
        <f>L32*15</f>
        <v>90</v>
      </c>
      <c r="N32" s="4"/>
      <c r="P32" s="4">
        <f>(M32+N32)/L32</f>
        <v>15</v>
      </c>
      <c r="Q32" s="4">
        <f>M32+N32</f>
        <v>90</v>
      </c>
    </row>
    <row r="33" spans="1:21" x14ac:dyDescent="0.35">
      <c r="A33" t="s">
        <v>621</v>
      </c>
      <c r="B33">
        <v>6</v>
      </c>
      <c r="C33" s="4">
        <f>B33*10</f>
        <v>60</v>
      </c>
      <c r="D33" s="4">
        <v>51</v>
      </c>
      <c r="F33" s="4">
        <f>(C33+D33)/B33</f>
        <v>18.5</v>
      </c>
      <c r="G33" s="4">
        <f>C33+D33</f>
        <v>111</v>
      </c>
      <c r="H33" t="s">
        <v>622</v>
      </c>
      <c r="L33" s="63">
        <f>SUM(L28:L32)</f>
        <v>24.5</v>
      </c>
      <c r="M33" s="55">
        <f>SUM(M28:M32)</f>
        <v>265</v>
      </c>
      <c r="N33" s="55">
        <f>SUM(N28:N32)</f>
        <v>159</v>
      </c>
      <c r="O33" s="55">
        <f>SUM(O28:O32)</f>
        <v>0</v>
      </c>
      <c r="P33" s="54">
        <f>(M33+N33)/L33</f>
        <v>17.306122448979593</v>
      </c>
      <c r="Q33" s="54">
        <f>M33+N33</f>
        <v>424</v>
      </c>
      <c r="T33" s="150"/>
      <c r="U33" s="150"/>
    </row>
    <row r="34" spans="1:21" x14ac:dyDescent="0.35">
      <c r="A34" t="s">
        <v>623</v>
      </c>
      <c r="B34">
        <v>6.5</v>
      </c>
      <c r="C34" s="4">
        <f>B34*10</f>
        <v>65</v>
      </c>
      <c r="D34" s="4">
        <v>60</v>
      </c>
      <c r="F34" s="4">
        <f>(C34+D34)/B34</f>
        <v>19.23076923076923</v>
      </c>
      <c r="G34" s="4">
        <f>C34+D34</f>
        <v>125</v>
      </c>
      <c r="K34" s="31" t="s">
        <v>1001</v>
      </c>
    </row>
    <row r="35" spans="1:21" ht="15" thickBot="1" x14ac:dyDescent="0.4">
      <c r="A35" t="s">
        <v>624</v>
      </c>
      <c r="B35">
        <v>6.5</v>
      </c>
      <c r="C35" s="4">
        <f>B35*10</f>
        <v>65</v>
      </c>
      <c r="D35" s="4">
        <v>38</v>
      </c>
      <c r="F35" s="4">
        <f>(C35+D35)/B35</f>
        <v>15.846153846153847</v>
      </c>
      <c r="G35" s="4">
        <f>C35+D35</f>
        <v>103</v>
      </c>
      <c r="K35" t="s">
        <v>1006</v>
      </c>
      <c r="L35">
        <v>8</v>
      </c>
      <c r="M35" s="4">
        <f>L35*5</f>
        <v>40</v>
      </c>
      <c r="N35" s="4">
        <v>122</v>
      </c>
      <c r="P35" s="4">
        <f>(M35+N35)/L35</f>
        <v>20.25</v>
      </c>
      <c r="Q35" s="4">
        <f>M35+N35</f>
        <v>162</v>
      </c>
    </row>
    <row r="36" spans="1:21" x14ac:dyDescent="0.35">
      <c r="B36" s="63">
        <f>SUM(B33:B35)</f>
        <v>19</v>
      </c>
      <c r="C36" s="55">
        <f>SUM(C33:C35)</f>
        <v>190</v>
      </c>
      <c r="D36" s="55">
        <f>SUM(D33:D35)</f>
        <v>149</v>
      </c>
      <c r="E36" s="55">
        <f>SUM(E33:E35)</f>
        <v>0</v>
      </c>
      <c r="F36" s="54">
        <f>(C36+D36)/B36</f>
        <v>17.842105263157894</v>
      </c>
      <c r="G36" s="54">
        <f>C36+D36</f>
        <v>339</v>
      </c>
      <c r="K36" t="s">
        <v>1007</v>
      </c>
      <c r="L36">
        <v>9</v>
      </c>
      <c r="M36" s="4">
        <f>L36*5</f>
        <v>45</v>
      </c>
      <c r="N36" s="4">
        <v>88</v>
      </c>
      <c r="O36">
        <v>94</v>
      </c>
      <c r="P36" s="4">
        <f>(M36+N36)/L36</f>
        <v>14.777777777777779</v>
      </c>
      <c r="Q36" s="4">
        <f>M36+N36</f>
        <v>133</v>
      </c>
    </row>
    <row r="37" spans="1:21" ht="15" thickBot="1" x14ac:dyDescent="0.4">
      <c r="K37" t="s">
        <v>999</v>
      </c>
      <c r="L37">
        <v>2.5</v>
      </c>
      <c r="M37" s="4">
        <f>L37*7.5</f>
        <v>18.75</v>
      </c>
      <c r="N37" s="4"/>
      <c r="P37" s="4">
        <f>(M37+N37)/L37</f>
        <v>7.5</v>
      </c>
      <c r="Q37" s="4">
        <f>M37+N37</f>
        <v>18.75</v>
      </c>
      <c r="R37" t="s">
        <v>1000</v>
      </c>
    </row>
    <row r="38" spans="1:21" x14ac:dyDescent="0.35">
      <c r="A38" s="31" t="s">
        <v>325</v>
      </c>
      <c r="B38" s="31">
        <f>B19+B25+B31+B36</f>
        <v>84</v>
      </c>
      <c r="C38" s="13">
        <f>C19+C25+C31+C36</f>
        <v>839.25</v>
      </c>
      <c r="D38" s="13">
        <f>D19+D25+D31+D36</f>
        <v>589</v>
      </c>
      <c r="E38" s="13">
        <f>E19+E25+E31+E36</f>
        <v>239</v>
      </c>
      <c r="F38" s="13">
        <f>(C38+D38+E38)/B38</f>
        <v>19.848214285714285</v>
      </c>
      <c r="G38" s="13">
        <f>C38+D38+E38</f>
        <v>1667.25</v>
      </c>
      <c r="L38" s="63">
        <f>SUM(L35:L37)</f>
        <v>19.5</v>
      </c>
      <c r="M38" s="55">
        <f>SUM(M35:M37)</f>
        <v>103.75</v>
      </c>
      <c r="N38" s="55">
        <f>SUM(N35:N37)</f>
        <v>210</v>
      </c>
      <c r="O38" s="55">
        <f>SUM(O35:O37)</f>
        <v>94</v>
      </c>
      <c r="P38" s="54">
        <f>(M38+N38)/L38</f>
        <v>16.089743589743591</v>
      </c>
      <c r="Q38" s="54">
        <f>M38+N38</f>
        <v>313.75</v>
      </c>
    </row>
    <row r="39" spans="1:21" x14ac:dyDescent="0.35">
      <c r="K39" s="31" t="s">
        <v>1012</v>
      </c>
    </row>
    <row r="40" spans="1:21" x14ac:dyDescent="0.35">
      <c r="K40" t="s">
        <v>1008</v>
      </c>
      <c r="L40">
        <v>5.5</v>
      </c>
      <c r="M40" s="4">
        <f>L40*15</f>
        <v>82.5</v>
      </c>
      <c r="N40" s="4"/>
      <c r="P40" s="4">
        <f>(M40+N40)/L40</f>
        <v>15</v>
      </c>
      <c r="Q40" s="4">
        <f>M40+N40</f>
        <v>82.5</v>
      </c>
      <c r="R40" t="s">
        <v>1013</v>
      </c>
    </row>
    <row r="41" spans="1:21" x14ac:dyDescent="0.35">
      <c r="A41" s="31" t="s">
        <v>887</v>
      </c>
      <c r="K41" t="s">
        <v>1009</v>
      </c>
      <c r="L41">
        <v>8.5</v>
      </c>
      <c r="M41" s="4">
        <f>L41*5</f>
        <v>42.5</v>
      </c>
      <c r="N41" s="4">
        <v>108</v>
      </c>
      <c r="P41" s="4">
        <f>(M41+N41)/L41</f>
        <v>17.705882352941178</v>
      </c>
      <c r="Q41" s="4">
        <f>M41+N41</f>
        <v>150.5</v>
      </c>
    </row>
    <row r="42" spans="1:21" x14ac:dyDescent="0.35">
      <c r="A42" s="61" t="s">
        <v>592</v>
      </c>
      <c r="B42" s="62" t="s">
        <v>593</v>
      </c>
      <c r="C42" s="62" t="s">
        <v>594</v>
      </c>
      <c r="D42" s="62" t="s">
        <v>343</v>
      </c>
      <c r="K42" t="s">
        <v>1010</v>
      </c>
      <c r="L42">
        <v>7</v>
      </c>
      <c r="M42" s="4">
        <f>L42*15</f>
        <v>105</v>
      </c>
      <c r="N42" s="4"/>
      <c r="O42">
        <v>75</v>
      </c>
      <c r="P42" s="4">
        <f>(M42+N42)/L42</f>
        <v>15</v>
      </c>
      <c r="Q42" s="4">
        <f>M42+N42</f>
        <v>105</v>
      </c>
      <c r="R42" t="s">
        <v>1014</v>
      </c>
    </row>
    <row r="43" spans="1:21" ht="15" thickBot="1" x14ac:dyDescent="0.4">
      <c r="A43" t="s">
        <v>595</v>
      </c>
      <c r="K43" t="s">
        <v>1011</v>
      </c>
      <c r="L43">
        <v>8</v>
      </c>
      <c r="M43" s="4">
        <f>L43*5</f>
        <v>40</v>
      </c>
      <c r="N43" s="4">
        <v>63</v>
      </c>
      <c r="P43" s="4">
        <f>(M43+N43)/L43</f>
        <v>12.875</v>
      </c>
      <c r="Q43" s="4">
        <f>M43+N43</f>
        <v>103</v>
      </c>
    </row>
    <row r="44" spans="1:21" ht="15" thickBot="1" x14ac:dyDescent="0.4">
      <c r="A44" t="s">
        <v>809</v>
      </c>
      <c r="B44">
        <v>1.5</v>
      </c>
      <c r="C44" s="4">
        <v>35</v>
      </c>
      <c r="D44" t="s">
        <v>626</v>
      </c>
      <c r="L44" s="63">
        <f>SUM(L40:L43)</f>
        <v>29</v>
      </c>
      <c r="M44" s="55">
        <f>SUM(M40:M43)</f>
        <v>270</v>
      </c>
      <c r="N44" s="55">
        <f>SUM(N40:N43)</f>
        <v>171</v>
      </c>
      <c r="O44" s="55">
        <f>SUM(O40:O43)</f>
        <v>75</v>
      </c>
      <c r="P44" s="54">
        <f>(M44+N44)/L44</f>
        <v>15.206896551724139</v>
      </c>
      <c r="Q44" s="54">
        <f>M44+N44</f>
        <v>441</v>
      </c>
    </row>
    <row r="45" spans="1:21" x14ac:dyDescent="0.35">
      <c r="C45" s="55">
        <f>SUM(C41:C44)</f>
        <v>35</v>
      </c>
      <c r="M45" s="48"/>
      <c r="N45" s="48"/>
      <c r="O45" s="48"/>
      <c r="P45" s="4"/>
      <c r="Q45" s="4"/>
    </row>
    <row r="46" spans="1:21" x14ac:dyDescent="0.35">
      <c r="K46" s="31" t="s">
        <v>325</v>
      </c>
      <c r="L46" s="31">
        <f>L21+L27+L33+L38+L44</f>
        <v>133</v>
      </c>
      <c r="M46" s="13">
        <f>M21+M27+M33+M38+M44</f>
        <v>1181.25</v>
      </c>
      <c r="N46" s="13">
        <f>N21+N27+N33+N38+N44</f>
        <v>1075</v>
      </c>
      <c r="O46" s="13">
        <f>O21+O27+O33+O38+O44</f>
        <v>334</v>
      </c>
      <c r="P46" s="13">
        <f>(M46+N46+O46)/L46</f>
        <v>19.475563909774436</v>
      </c>
      <c r="Q46" s="13">
        <f>M46+N46+O46</f>
        <v>2590.25</v>
      </c>
    </row>
    <row r="47" spans="1:21" x14ac:dyDescent="0.35">
      <c r="A47" s="31" t="s">
        <v>625</v>
      </c>
      <c r="C47" t="s">
        <v>596</v>
      </c>
      <c r="K47" s="31"/>
      <c r="L47" s="31"/>
      <c r="M47" s="13"/>
      <c r="N47" s="13"/>
      <c r="O47" s="13"/>
      <c r="P47" s="13"/>
      <c r="Q47" s="13"/>
      <c r="T47" s="31"/>
      <c r="U47" s="31"/>
    </row>
    <row r="48" spans="1:21" x14ac:dyDescent="0.35">
      <c r="A48" s="61" t="s">
        <v>598</v>
      </c>
      <c r="B48" s="62" t="s">
        <v>593</v>
      </c>
      <c r="C48" s="62" t="s">
        <v>594</v>
      </c>
      <c r="D48" s="62" t="s">
        <v>599</v>
      </c>
      <c r="E48" s="62" t="s">
        <v>600</v>
      </c>
      <c r="F48" s="62" t="s">
        <v>601</v>
      </c>
      <c r="G48" s="62" t="s">
        <v>325</v>
      </c>
      <c r="H48" s="62" t="s">
        <v>343</v>
      </c>
      <c r="K48" s="31"/>
      <c r="L48" s="31"/>
      <c r="M48" s="13"/>
      <c r="N48" s="13"/>
      <c r="O48" s="13"/>
      <c r="P48" s="13"/>
      <c r="Q48" s="13"/>
      <c r="T48" s="31"/>
      <c r="U48" s="31"/>
    </row>
    <row r="49" spans="1:19" x14ac:dyDescent="0.35">
      <c r="A49" s="31" t="s">
        <v>627</v>
      </c>
      <c r="K49" s="31" t="s">
        <v>1017</v>
      </c>
    </row>
    <row r="50" spans="1:19" x14ac:dyDescent="0.35">
      <c r="A50" t="s">
        <v>628</v>
      </c>
      <c r="B50">
        <v>6.5</v>
      </c>
      <c r="C50" s="4">
        <f>B50*10</f>
        <v>65</v>
      </c>
      <c r="D50" s="4">
        <v>45</v>
      </c>
      <c r="F50" s="4">
        <f>(C50+D50)/B50</f>
        <v>16.923076923076923</v>
      </c>
      <c r="G50" s="4">
        <f>C50+D50</f>
        <v>110</v>
      </c>
      <c r="H50" t="s">
        <v>629</v>
      </c>
      <c r="K50" s="61" t="s">
        <v>598</v>
      </c>
      <c r="L50" s="62" t="s">
        <v>593</v>
      </c>
      <c r="M50" s="62" t="s">
        <v>594</v>
      </c>
      <c r="N50" s="62" t="s">
        <v>599</v>
      </c>
      <c r="O50" s="62" t="s">
        <v>600</v>
      </c>
      <c r="P50" s="62" t="s">
        <v>601</v>
      </c>
      <c r="Q50" s="62" t="s">
        <v>325</v>
      </c>
      <c r="R50" s="62" t="s">
        <v>343</v>
      </c>
      <c r="S50" s="150"/>
    </row>
    <row r="51" spans="1:19" x14ac:dyDescent="0.35">
      <c r="A51" t="s">
        <v>630</v>
      </c>
      <c r="B51">
        <v>6</v>
      </c>
      <c r="C51" s="4">
        <f>B51*10</f>
        <v>60</v>
      </c>
      <c r="D51" s="4">
        <v>29</v>
      </c>
      <c r="F51" s="4">
        <f>(C51+D51)/B51</f>
        <v>14.833333333333334</v>
      </c>
      <c r="G51" s="4">
        <f>C51+D51</f>
        <v>89</v>
      </c>
      <c r="K51" s="31" t="s">
        <v>1016</v>
      </c>
    </row>
    <row r="52" spans="1:19" x14ac:dyDescent="0.35">
      <c r="A52" t="s">
        <v>631</v>
      </c>
      <c r="B52">
        <v>6.5</v>
      </c>
      <c r="C52" s="4">
        <f>B52*10</f>
        <v>65</v>
      </c>
      <c r="D52" s="4">
        <v>29</v>
      </c>
      <c r="F52" s="4">
        <f>(C52+D52)/B52</f>
        <v>14.461538461538462</v>
      </c>
      <c r="G52" s="4">
        <f>C52+D52</f>
        <v>94</v>
      </c>
      <c r="K52" t="s">
        <v>1035</v>
      </c>
      <c r="L52">
        <v>9</v>
      </c>
      <c r="M52" s="4">
        <f>L52*5</f>
        <v>45</v>
      </c>
      <c r="N52" s="4">
        <v>178</v>
      </c>
      <c r="P52" s="4">
        <f>(M52+N52)/L52</f>
        <v>24.777777777777779</v>
      </c>
      <c r="Q52" s="4">
        <f>M52+N52</f>
        <v>223</v>
      </c>
    </row>
    <row r="53" spans="1:19" ht="15" thickBot="1" x14ac:dyDescent="0.4">
      <c r="A53" t="s">
        <v>632</v>
      </c>
      <c r="B53">
        <v>7.5</v>
      </c>
      <c r="C53" s="4">
        <f>B53*10</f>
        <v>75</v>
      </c>
      <c r="D53" s="4">
        <v>87</v>
      </c>
      <c r="E53" s="4">
        <v>212</v>
      </c>
      <c r="F53" s="4">
        <f>(C53+D53)/B53</f>
        <v>21.6</v>
      </c>
      <c r="G53" s="4">
        <f>C53+D53</f>
        <v>162</v>
      </c>
      <c r="H53" t="s">
        <v>633</v>
      </c>
      <c r="K53" t="s">
        <v>1036</v>
      </c>
      <c r="L53">
        <v>7.5</v>
      </c>
      <c r="M53" s="4">
        <f>L53*5</f>
        <v>37.5</v>
      </c>
      <c r="N53" s="4">
        <v>163</v>
      </c>
      <c r="P53" s="4">
        <f>(M53+N53)/L53</f>
        <v>26.733333333333334</v>
      </c>
      <c r="Q53" s="4">
        <f>M53+N53</f>
        <v>200.5</v>
      </c>
      <c r="R53" t="s">
        <v>1015</v>
      </c>
    </row>
    <row r="54" spans="1:19" x14ac:dyDescent="0.35">
      <c r="B54" s="63">
        <f>SUM(B50:B53)</f>
        <v>26.5</v>
      </c>
      <c r="C54" s="55">
        <f>SUM(C50:C53)</f>
        <v>265</v>
      </c>
      <c r="D54" s="55">
        <f>SUM(D50:D53)</f>
        <v>190</v>
      </c>
      <c r="E54" s="55">
        <f>SUM(E50:E53)</f>
        <v>212</v>
      </c>
      <c r="F54" s="54">
        <f>(C54+D54)/B54</f>
        <v>17.169811320754718</v>
      </c>
      <c r="G54" s="54">
        <f>C54+D54</f>
        <v>455</v>
      </c>
      <c r="H54" s="4"/>
      <c r="K54" t="s">
        <v>1037</v>
      </c>
      <c r="L54">
        <v>8.5</v>
      </c>
      <c r="M54" s="4">
        <f>L54*5</f>
        <v>42.5</v>
      </c>
      <c r="N54" s="4">
        <v>129</v>
      </c>
      <c r="P54" s="4">
        <f>(M54+N54)/L54</f>
        <v>20.176470588235293</v>
      </c>
      <c r="Q54" s="4">
        <f>M54+N54</f>
        <v>171.5</v>
      </c>
    </row>
    <row r="55" spans="1:19" ht="15" thickBot="1" x14ac:dyDescent="0.4">
      <c r="A55" s="31" t="s">
        <v>634</v>
      </c>
      <c r="K55" t="s">
        <v>1038</v>
      </c>
      <c r="L55">
        <v>6</v>
      </c>
      <c r="M55" s="4">
        <f>L55*10</f>
        <v>60</v>
      </c>
      <c r="N55" s="4">
        <v>41</v>
      </c>
      <c r="O55" s="48">
        <v>114</v>
      </c>
      <c r="P55" s="4">
        <f>(M55+N55)/L55</f>
        <v>16.833333333333332</v>
      </c>
      <c r="Q55" s="4">
        <f>M55+N55</f>
        <v>101</v>
      </c>
      <c r="R55" t="s">
        <v>1028</v>
      </c>
    </row>
    <row r="56" spans="1:19" x14ac:dyDescent="0.35">
      <c r="A56" t="s">
        <v>635</v>
      </c>
      <c r="B56">
        <v>6</v>
      </c>
      <c r="C56" s="4">
        <f>B56*15</f>
        <v>90</v>
      </c>
      <c r="D56" s="4">
        <v>0</v>
      </c>
      <c r="F56" s="4">
        <f t="shared" ref="F56:F62" si="2">(C56+D56)/B56</f>
        <v>15</v>
      </c>
      <c r="G56" s="4">
        <f t="shared" ref="G56:G62" si="3">C56+D56</f>
        <v>90</v>
      </c>
      <c r="H56" t="s">
        <v>636</v>
      </c>
      <c r="L56" s="63">
        <f>SUM(L51:L55)</f>
        <v>31</v>
      </c>
      <c r="M56" s="55">
        <f>SUM(M51:M55)</f>
        <v>185</v>
      </c>
      <c r="N56" s="55">
        <f>SUM(N51:N55)</f>
        <v>511</v>
      </c>
      <c r="O56" s="55">
        <f>SUM(O51:O55)</f>
        <v>114</v>
      </c>
      <c r="P56" s="54">
        <f>(M56+N56+O56)/L56</f>
        <v>26.129032258064516</v>
      </c>
      <c r="Q56" s="54">
        <f>M56+N56</f>
        <v>696</v>
      </c>
    </row>
    <row r="57" spans="1:19" x14ac:dyDescent="0.35">
      <c r="A57" t="s">
        <v>637</v>
      </c>
      <c r="B57">
        <v>5</v>
      </c>
      <c r="C57" s="4">
        <f>B57*10</f>
        <v>50</v>
      </c>
      <c r="D57" s="4">
        <v>36</v>
      </c>
      <c r="F57" s="4">
        <f t="shared" si="2"/>
        <v>17.2</v>
      </c>
      <c r="G57" s="4">
        <f t="shared" si="3"/>
        <v>86</v>
      </c>
      <c r="K57" s="31" t="s">
        <v>1072</v>
      </c>
    </row>
    <row r="58" spans="1:19" x14ac:dyDescent="0.35">
      <c r="A58" t="s">
        <v>638</v>
      </c>
      <c r="B58">
        <v>5</v>
      </c>
      <c r="C58" s="4">
        <f>B58*15</f>
        <v>75</v>
      </c>
      <c r="D58" s="4">
        <v>0</v>
      </c>
      <c r="F58" s="4">
        <f t="shared" si="2"/>
        <v>15</v>
      </c>
      <c r="G58" s="4">
        <f t="shared" si="3"/>
        <v>75</v>
      </c>
      <c r="H58" t="s">
        <v>639</v>
      </c>
      <c r="K58" t="s">
        <v>1029</v>
      </c>
      <c r="L58">
        <v>5.5</v>
      </c>
      <c r="M58" s="4">
        <f>L58*15</f>
        <v>82.5</v>
      </c>
      <c r="N58" s="4"/>
      <c r="P58" s="4">
        <f>(M58+N58)/L58</f>
        <v>15</v>
      </c>
      <c r="Q58" s="4">
        <f>M58+N58</f>
        <v>82.5</v>
      </c>
    </row>
    <row r="59" spans="1:19" ht="15" thickBot="1" x14ac:dyDescent="0.4">
      <c r="A59" t="s">
        <v>640</v>
      </c>
      <c r="B59">
        <v>6</v>
      </c>
      <c r="C59" s="4">
        <f>B59*10</f>
        <v>60</v>
      </c>
      <c r="D59" s="4">
        <v>36</v>
      </c>
      <c r="F59" s="4">
        <f t="shared" si="2"/>
        <v>16</v>
      </c>
      <c r="G59" s="4">
        <f t="shared" si="3"/>
        <v>96</v>
      </c>
      <c r="K59" t="s">
        <v>1030</v>
      </c>
      <c r="L59">
        <v>5.5</v>
      </c>
      <c r="M59" s="4">
        <f>L59*15</f>
        <v>82.5</v>
      </c>
      <c r="N59" s="4"/>
      <c r="O59" s="48"/>
      <c r="P59" s="4">
        <f>(M59+N59)/L59</f>
        <v>15</v>
      </c>
      <c r="Q59" s="4">
        <f>M59+N59</f>
        <v>82.5</v>
      </c>
    </row>
    <row r="60" spans="1:19" x14ac:dyDescent="0.35">
      <c r="A60" t="s">
        <v>641</v>
      </c>
      <c r="B60">
        <v>6.5</v>
      </c>
      <c r="C60" s="4">
        <f>B60*10</f>
        <v>65</v>
      </c>
      <c r="D60" s="4">
        <v>53</v>
      </c>
      <c r="F60" s="4">
        <f t="shared" si="2"/>
        <v>18.153846153846153</v>
      </c>
      <c r="G60" s="4">
        <f t="shared" si="3"/>
        <v>118</v>
      </c>
      <c r="L60" s="63">
        <f>SUM(L57:L59)</f>
        <v>11</v>
      </c>
      <c r="M60" s="55">
        <f>SUM(M57:M59)</f>
        <v>165</v>
      </c>
      <c r="N60" s="55">
        <f>SUM(N57:N59)</f>
        <v>0</v>
      </c>
      <c r="O60" s="55">
        <f>SUM(O57:O59)</f>
        <v>0</v>
      </c>
      <c r="P60" s="54">
        <f>(M60+N60+O60)/L60</f>
        <v>15</v>
      </c>
      <c r="Q60" s="54">
        <f>M60+N60</f>
        <v>165</v>
      </c>
    </row>
    <row r="61" spans="1:19" ht="15" thickBot="1" x14ac:dyDescent="0.4">
      <c r="A61" t="s">
        <v>642</v>
      </c>
      <c r="B61">
        <v>1.5</v>
      </c>
      <c r="C61" s="4">
        <f>B61*10</f>
        <v>15</v>
      </c>
      <c r="D61" s="4">
        <v>0</v>
      </c>
      <c r="F61" s="4">
        <f t="shared" si="2"/>
        <v>10</v>
      </c>
      <c r="G61" s="4">
        <f t="shared" si="3"/>
        <v>15</v>
      </c>
      <c r="K61" s="31" t="s">
        <v>1073</v>
      </c>
    </row>
    <row r="62" spans="1:19" x14ac:dyDescent="0.35">
      <c r="B62" s="63">
        <f>SUM(B56:B61)</f>
        <v>30</v>
      </c>
      <c r="C62" s="55">
        <f>SUM(C56:C61)</f>
        <v>355</v>
      </c>
      <c r="D62" s="55">
        <f>SUM(D56:D61)</f>
        <v>125</v>
      </c>
      <c r="E62" s="55">
        <f>SUM(E56:E61)</f>
        <v>0</v>
      </c>
      <c r="F62" s="54">
        <f t="shared" si="2"/>
        <v>16</v>
      </c>
      <c r="G62" s="54">
        <f t="shared" si="3"/>
        <v>480</v>
      </c>
      <c r="K62" t="s">
        <v>1059</v>
      </c>
      <c r="L62">
        <v>7</v>
      </c>
      <c r="M62" s="4">
        <f>L62*5</f>
        <v>35</v>
      </c>
      <c r="N62" s="4">
        <v>70</v>
      </c>
      <c r="P62" s="4">
        <f>(M62+N62)/L62</f>
        <v>15</v>
      </c>
      <c r="Q62" s="4">
        <f>M62+N62</f>
        <v>105</v>
      </c>
    </row>
    <row r="63" spans="1:19" ht="15" thickBot="1" x14ac:dyDescent="0.4">
      <c r="A63" s="31" t="s">
        <v>643</v>
      </c>
      <c r="K63" t="s">
        <v>1060</v>
      </c>
      <c r="L63">
        <v>9</v>
      </c>
      <c r="M63" s="4">
        <f>L63*5</f>
        <v>45</v>
      </c>
      <c r="N63" s="4">
        <v>120</v>
      </c>
      <c r="O63" s="48">
        <v>79</v>
      </c>
      <c r="P63" s="4">
        <f>(M63+N63)/L63</f>
        <v>18.333333333333332</v>
      </c>
      <c r="Q63" s="4">
        <f>M63+N63</f>
        <v>165</v>
      </c>
    </row>
    <row r="64" spans="1:19" x14ac:dyDescent="0.35">
      <c r="A64" t="s">
        <v>644</v>
      </c>
      <c r="B64">
        <v>5.5</v>
      </c>
      <c r="C64" s="4">
        <f>B64*15</f>
        <v>82.5</v>
      </c>
      <c r="D64" s="4">
        <v>0</v>
      </c>
      <c r="F64" s="4">
        <f t="shared" ref="F64:F69" si="4">(C64+D64)/B64</f>
        <v>15</v>
      </c>
      <c r="G64" s="4">
        <f t="shared" ref="G64:G69" si="5">C64+D64</f>
        <v>82.5</v>
      </c>
      <c r="L64" s="63">
        <f>SUM(L61:L63)</f>
        <v>16</v>
      </c>
      <c r="M64" s="55">
        <f>SUM(M61:M63)</f>
        <v>80</v>
      </c>
      <c r="N64" s="55">
        <f>SUM(N61:N63)</f>
        <v>190</v>
      </c>
      <c r="O64" s="55">
        <f>SUM(O61:O63)</f>
        <v>79</v>
      </c>
      <c r="P64" s="54">
        <f>(M64+N64+O64)/L64</f>
        <v>21.8125</v>
      </c>
      <c r="Q64" s="54">
        <f>M64+N64</f>
        <v>270</v>
      </c>
    </row>
    <row r="65" spans="1:21" x14ac:dyDescent="0.35">
      <c r="A65" t="s">
        <v>645</v>
      </c>
      <c r="B65">
        <v>7.5</v>
      </c>
      <c r="C65" s="4">
        <f>B65*10</f>
        <v>75</v>
      </c>
      <c r="D65" s="4">
        <v>68</v>
      </c>
      <c r="F65" s="4">
        <f t="shared" si="4"/>
        <v>19.066666666666666</v>
      </c>
      <c r="G65" s="4">
        <f t="shared" si="5"/>
        <v>143</v>
      </c>
      <c r="H65" t="s">
        <v>646</v>
      </c>
      <c r="K65" s="31" t="s">
        <v>1074</v>
      </c>
      <c r="M65" s="48"/>
      <c r="N65" s="48"/>
      <c r="O65" s="48"/>
      <c r="P65" s="4"/>
      <c r="Q65" s="4"/>
    </row>
    <row r="66" spans="1:21" x14ac:dyDescent="0.35">
      <c r="A66" t="s">
        <v>647</v>
      </c>
      <c r="B66">
        <v>6</v>
      </c>
      <c r="C66" s="4">
        <f>B66*10</f>
        <v>60</v>
      </c>
      <c r="D66" s="4">
        <v>28</v>
      </c>
      <c r="F66" s="4">
        <f t="shared" si="4"/>
        <v>14.666666666666666</v>
      </c>
      <c r="G66" s="4">
        <f t="shared" si="5"/>
        <v>88</v>
      </c>
      <c r="K66" t="s">
        <v>1029</v>
      </c>
      <c r="L66">
        <v>7.5</v>
      </c>
      <c r="M66" s="4">
        <f>L66*5</f>
        <v>37.5</v>
      </c>
      <c r="N66" s="4">
        <v>117</v>
      </c>
      <c r="P66" s="4">
        <f>(M66+N66)/L66</f>
        <v>20.6</v>
      </c>
      <c r="Q66" s="4">
        <f>M66+N66</f>
        <v>154.5</v>
      </c>
    </row>
    <row r="67" spans="1:21" ht="15" thickBot="1" x14ac:dyDescent="0.4">
      <c r="A67" t="s">
        <v>648</v>
      </c>
      <c r="B67">
        <v>6.5</v>
      </c>
      <c r="C67" s="4">
        <f>B67*10</f>
        <v>65</v>
      </c>
      <c r="D67" s="4">
        <v>50</v>
      </c>
      <c r="F67" s="4">
        <f t="shared" si="4"/>
        <v>17.692307692307693</v>
      </c>
      <c r="G67" s="4">
        <f t="shared" si="5"/>
        <v>115</v>
      </c>
      <c r="K67" t="s">
        <v>1030</v>
      </c>
      <c r="L67">
        <v>6.5</v>
      </c>
      <c r="M67" s="4">
        <f>L67*5</f>
        <v>32.5</v>
      </c>
      <c r="N67" s="4">
        <v>71</v>
      </c>
      <c r="O67" s="48">
        <v>75</v>
      </c>
      <c r="P67" s="4">
        <f>(M67+N67)/L67</f>
        <v>15.923076923076923</v>
      </c>
      <c r="Q67" s="4">
        <f>M67+N67</f>
        <v>103.5</v>
      </c>
    </row>
    <row r="68" spans="1:21" ht="15" thickBot="1" x14ac:dyDescent="0.4">
      <c r="A68" t="s">
        <v>649</v>
      </c>
      <c r="B68">
        <v>5.5</v>
      </c>
      <c r="C68" s="4">
        <f>B68*15</f>
        <v>82.5</v>
      </c>
      <c r="D68" s="4">
        <v>0</v>
      </c>
      <c r="F68" s="4">
        <f t="shared" si="4"/>
        <v>15</v>
      </c>
      <c r="G68" s="4">
        <f t="shared" si="5"/>
        <v>82.5</v>
      </c>
      <c r="L68" s="63">
        <f>SUM(L65:L67)</f>
        <v>14</v>
      </c>
      <c r="M68" s="55">
        <f>SUM(M65:M67)</f>
        <v>70</v>
      </c>
      <c r="N68" s="55">
        <f>SUM(N65:N67)</f>
        <v>188</v>
      </c>
      <c r="O68" s="55">
        <f>SUM(O65:O67)</f>
        <v>75</v>
      </c>
      <c r="P68" s="54">
        <f>(M68+N68+O68)/L68</f>
        <v>23.785714285714285</v>
      </c>
      <c r="Q68" s="54">
        <f>M68+N68</f>
        <v>258</v>
      </c>
    </row>
    <row r="69" spans="1:21" x14ac:dyDescent="0.35">
      <c r="B69" s="63">
        <f>SUM(B64:B68)</f>
        <v>31</v>
      </c>
      <c r="C69" s="55">
        <f>SUM(C64:C68)</f>
        <v>365</v>
      </c>
      <c r="D69" s="55">
        <f>SUM(D64:D68)</f>
        <v>146</v>
      </c>
      <c r="E69" s="55">
        <f>SUM(E64:E68)</f>
        <v>0</v>
      </c>
      <c r="F69" s="54">
        <f t="shared" si="4"/>
        <v>16.483870967741936</v>
      </c>
      <c r="G69" s="54">
        <f t="shared" si="5"/>
        <v>511</v>
      </c>
      <c r="T69" s="150"/>
      <c r="U69" s="150"/>
    </row>
    <row r="70" spans="1:21" x14ac:dyDescent="0.35">
      <c r="A70" s="31" t="s">
        <v>650</v>
      </c>
      <c r="K70" s="31" t="s">
        <v>325</v>
      </c>
      <c r="L70" s="31">
        <f>L56+L60+L64+L68</f>
        <v>72</v>
      </c>
      <c r="M70" s="13">
        <f>M56+M60+M64+M68</f>
        <v>500</v>
      </c>
      <c r="N70" s="13">
        <f>N56+N60+N64+N68</f>
        <v>889</v>
      </c>
      <c r="O70" s="13">
        <f>O56+O60+O64+O68</f>
        <v>268</v>
      </c>
      <c r="P70" s="13">
        <f>(M70+N70+O70)/L70</f>
        <v>23.013888888888889</v>
      </c>
      <c r="Q70" s="13">
        <f>M70+N70+O70</f>
        <v>1657</v>
      </c>
    </row>
    <row r="71" spans="1:21" x14ac:dyDescent="0.35">
      <c r="A71" t="s">
        <v>651</v>
      </c>
      <c r="B71">
        <v>5.5</v>
      </c>
      <c r="C71" s="4">
        <f>B71*15</f>
        <v>82.5</v>
      </c>
      <c r="D71" s="4">
        <v>0</v>
      </c>
      <c r="F71" s="4">
        <f>(C71+D71)/B71</f>
        <v>15</v>
      </c>
      <c r="G71" s="4">
        <f>C71+D71</f>
        <v>82.5</v>
      </c>
      <c r="H71" t="s">
        <v>652</v>
      </c>
    </row>
    <row r="72" spans="1:21" x14ac:dyDescent="0.35">
      <c r="A72" t="s">
        <v>653</v>
      </c>
      <c r="B72">
        <v>6.5</v>
      </c>
      <c r="C72" s="4">
        <f>B72*10</f>
        <v>65</v>
      </c>
      <c r="D72" s="4">
        <v>44</v>
      </c>
      <c r="F72" s="4">
        <f>(C72+D72)/B72</f>
        <v>16.76923076923077</v>
      </c>
      <c r="G72" s="4">
        <f>C72+D72</f>
        <v>109</v>
      </c>
    </row>
    <row r="73" spans="1:21" x14ac:dyDescent="0.35">
      <c r="A73" t="s">
        <v>654</v>
      </c>
      <c r="B73">
        <v>6.5</v>
      </c>
      <c r="C73" s="4">
        <f>B73*10</f>
        <v>65</v>
      </c>
      <c r="D73" s="4">
        <v>23</v>
      </c>
      <c r="F73" s="4">
        <f>(C73+D73)/B73</f>
        <v>13.538461538461538</v>
      </c>
      <c r="G73" s="4">
        <f>C73+D73</f>
        <v>88</v>
      </c>
      <c r="K73" s="31" t="s">
        <v>1039</v>
      </c>
    </row>
    <row r="74" spans="1:21" ht="15" thickBot="1" x14ac:dyDescent="0.4">
      <c r="A74" t="s">
        <v>655</v>
      </c>
      <c r="B74">
        <v>5.5</v>
      </c>
      <c r="C74" s="4">
        <f>B74*15</f>
        <v>82.5</v>
      </c>
      <c r="D74" s="4">
        <v>0</v>
      </c>
      <c r="E74" s="4">
        <v>220</v>
      </c>
      <c r="F74" s="4">
        <f>(C74+D74)/B74</f>
        <v>15</v>
      </c>
      <c r="G74" s="4">
        <f>C74+D74</f>
        <v>82.5</v>
      </c>
      <c r="H74" t="s">
        <v>656</v>
      </c>
      <c r="K74" s="61" t="s">
        <v>598</v>
      </c>
      <c r="L74" s="62" t="s">
        <v>593</v>
      </c>
      <c r="M74" s="62" t="s">
        <v>594</v>
      </c>
      <c r="N74" s="62" t="s">
        <v>599</v>
      </c>
      <c r="O74" s="62" t="s">
        <v>600</v>
      </c>
      <c r="P74" s="62" t="s">
        <v>601</v>
      </c>
      <c r="Q74" s="62" t="s">
        <v>325</v>
      </c>
      <c r="R74" s="62" t="s">
        <v>343</v>
      </c>
      <c r="S74" s="150"/>
    </row>
    <row r="75" spans="1:21" x14ac:dyDescent="0.35">
      <c r="B75" s="63">
        <f>SUM(B70:B74)</f>
        <v>24</v>
      </c>
      <c r="C75" s="55">
        <f>SUM(C70:C74)</f>
        <v>295</v>
      </c>
      <c r="D75" s="55">
        <f>SUM(D70:D74)</f>
        <v>67</v>
      </c>
      <c r="E75" s="55">
        <f>SUM(E70:E74)</f>
        <v>220</v>
      </c>
      <c r="F75" s="54">
        <f>(C75+D75)/B75</f>
        <v>15.083333333333334</v>
      </c>
      <c r="G75" s="54">
        <f>C75+D75</f>
        <v>362</v>
      </c>
      <c r="K75" s="31" t="s">
        <v>1075</v>
      </c>
    </row>
    <row r="76" spans="1:21" x14ac:dyDescent="0.35">
      <c r="A76" s="31" t="s">
        <v>657</v>
      </c>
      <c r="K76" t="s">
        <v>1061</v>
      </c>
      <c r="L76">
        <v>8</v>
      </c>
      <c r="M76" s="4">
        <f>L76*5</f>
        <v>40</v>
      </c>
      <c r="N76" s="4">
        <v>132</v>
      </c>
      <c r="P76" s="4">
        <f>(M76+N76)/L76</f>
        <v>21.5</v>
      </c>
      <c r="Q76" s="4">
        <f>M76+N76</f>
        <v>172</v>
      </c>
    </row>
    <row r="77" spans="1:21" x14ac:dyDescent="0.35">
      <c r="A77" t="s">
        <v>658</v>
      </c>
      <c r="B77">
        <v>4.5</v>
      </c>
      <c r="C77" s="4">
        <f>B77*15</f>
        <v>67.5</v>
      </c>
      <c r="D77" s="4">
        <v>0</v>
      </c>
      <c r="F77" s="4">
        <f t="shared" ref="F77:F82" si="6">(C77+D77)/B77</f>
        <v>15</v>
      </c>
      <c r="G77" s="4">
        <f t="shared" ref="G77:G82" si="7">C77+D77</f>
        <v>67.5</v>
      </c>
      <c r="K77" t="s">
        <v>1062</v>
      </c>
      <c r="L77">
        <v>8.5</v>
      </c>
      <c r="M77" s="4">
        <f>L77*5</f>
        <v>42.5</v>
      </c>
      <c r="N77" s="4">
        <v>96</v>
      </c>
      <c r="P77" s="4">
        <f>(M77+N77)/L77</f>
        <v>16.294117647058822</v>
      </c>
      <c r="Q77" s="4">
        <f>M77+N77</f>
        <v>138.5</v>
      </c>
      <c r="R77" t="s">
        <v>1041</v>
      </c>
    </row>
    <row r="78" spans="1:21" ht="15" thickBot="1" x14ac:dyDescent="0.4">
      <c r="A78" t="s">
        <v>659</v>
      </c>
      <c r="B78">
        <v>5.5</v>
      </c>
      <c r="C78" s="4">
        <f>B78*10</f>
        <v>55</v>
      </c>
      <c r="D78" s="4">
        <v>27</v>
      </c>
      <c r="F78" s="4">
        <f t="shared" si="6"/>
        <v>14.909090909090908</v>
      </c>
      <c r="G78" s="4">
        <f t="shared" si="7"/>
        <v>82</v>
      </c>
      <c r="H78" t="s">
        <v>660</v>
      </c>
      <c r="K78" t="s">
        <v>1063</v>
      </c>
      <c r="L78">
        <v>8</v>
      </c>
      <c r="M78" s="4">
        <f>L78*5</f>
        <v>40</v>
      </c>
      <c r="N78" s="4">
        <v>73</v>
      </c>
      <c r="P78" s="4">
        <f>(M78+N78)/L78</f>
        <v>14.125</v>
      </c>
      <c r="Q78" s="4">
        <f>M78+N78</f>
        <v>113</v>
      </c>
      <c r="R78" t="s">
        <v>1042</v>
      </c>
    </row>
    <row r="79" spans="1:21" x14ac:dyDescent="0.35">
      <c r="A79" t="s">
        <v>661</v>
      </c>
      <c r="B79">
        <v>5</v>
      </c>
      <c r="C79" s="4">
        <f>B79*15</f>
        <v>75</v>
      </c>
      <c r="D79" s="4">
        <v>0</v>
      </c>
      <c r="F79" s="4">
        <f t="shared" si="6"/>
        <v>15</v>
      </c>
      <c r="G79" s="4">
        <f t="shared" si="7"/>
        <v>75</v>
      </c>
      <c r="L79" s="63">
        <f>SUM(L75:L78)</f>
        <v>24.5</v>
      </c>
      <c r="M79" s="55">
        <f>SUM(M75:M78)</f>
        <v>122.5</v>
      </c>
      <c r="N79" s="55">
        <f>SUM(N75:N78)</f>
        <v>301</v>
      </c>
      <c r="O79" s="55">
        <f>SUM(O75:O78)</f>
        <v>0</v>
      </c>
      <c r="P79" s="54">
        <f>(M79+N79+O79)/L79</f>
        <v>17.285714285714285</v>
      </c>
      <c r="Q79" s="54">
        <f>M79+N79</f>
        <v>423.5</v>
      </c>
    </row>
    <row r="80" spans="1:21" x14ac:dyDescent="0.35">
      <c r="A80" t="s">
        <v>662</v>
      </c>
      <c r="B80">
        <v>7.5</v>
      </c>
      <c r="C80" s="4">
        <f>B80*10</f>
        <v>75</v>
      </c>
      <c r="D80" s="4">
        <v>77</v>
      </c>
      <c r="F80" s="4">
        <f t="shared" si="6"/>
        <v>20.266666666666666</v>
      </c>
      <c r="G80" s="4">
        <f t="shared" si="7"/>
        <v>152</v>
      </c>
      <c r="K80" s="31" t="s">
        <v>1076</v>
      </c>
    </row>
    <row r="81" spans="1:19" ht="15" thickBot="1" x14ac:dyDescent="0.4">
      <c r="A81" t="s">
        <v>663</v>
      </c>
      <c r="B81">
        <v>5.5</v>
      </c>
      <c r="C81" s="4">
        <f>B81*10</f>
        <v>55</v>
      </c>
      <c r="D81" s="4">
        <v>21</v>
      </c>
      <c r="F81" s="4">
        <f t="shared" si="6"/>
        <v>13.818181818181818</v>
      </c>
      <c r="G81" s="4">
        <f t="shared" si="7"/>
        <v>76</v>
      </c>
      <c r="K81" t="s">
        <v>1064</v>
      </c>
      <c r="L81">
        <v>7.5</v>
      </c>
      <c r="M81" s="4">
        <f>L81*5</f>
        <v>37.5</v>
      </c>
      <c r="N81" s="4">
        <v>141</v>
      </c>
      <c r="O81">
        <v>127</v>
      </c>
      <c r="P81" s="4">
        <f>(M81+N81)/L81</f>
        <v>23.8</v>
      </c>
      <c r="Q81" s="4">
        <f>M81+N81</f>
        <v>178.5</v>
      </c>
    </row>
    <row r="82" spans="1:19" x14ac:dyDescent="0.35">
      <c r="B82" s="63">
        <f>SUM(B76:B81)</f>
        <v>28</v>
      </c>
      <c r="C82" s="55">
        <f>SUM(C76:C81)</f>
        <v>327.5</v>
      </c>
      <c r="D82" s="55">
        <f>SUM(D76:D81)</f>
        <v>125</v>
      </c>
      <c r="E82" s="55">
        <f>SUM(E76:E81)</f>
        <v>0</v>
      </c>
      <c r="F82" s="54">
        <f t="shared" si="6"/>
        <v>16.160714285714285</v>
      </c>
      <c r="G82" s="54">
        <f t="shared" si="7"/>
        <v>452.5</v>
      </c>
      <c r="K82" t="s">
        <v>1065</v>
      </c>
      <c r="L82">
        <v>8.5</v>
      </c>
      <c r="M82" s="4">
        <f>L82*5</f>
        <v>42.5</v>
      </c>
      <c r="N82" s="4">
        <v>133</v>
      </c>
      <c r="P82" s="4">
        <f>(M82+N82)/L82</f>
        <v>20.647058823529413</v>
      </c>
      <c r="Q82" s="4">
        <f>M82+N82</f>
        <v>175.5</v>
      </c>
      <c r="R82" t="s">
        <v>1013</v>
      </c>
    </row>
    <row r="83" spans="1:19" x14ac:dyDescent="0.35">
      <c r="K83" t="s">
        <v>1066</v>
      </c>
      <c r="L83">
        <v>6</v>
      </c>
      <c r="M83" s="4">
        <f>L83*15</f>
        <v>90</v>
      </c>
      <c r="N83" s="4"/>
      <c r="P83" s="4">
        <f>(M83+N83)/L83</f>
        <v>15</v>
      </c>
      <c r="Q83" s="4">
        <f>M83+N83</f>
        <v>90</v>
      </c>
    </row>
    <row r="84" spans="1:19" ht="15" thickBot="1" x14ac:dyDescent="0.4">
      <c r="K84" t="s">
        <v>1067</v>
      </c>
      <c r="L84">
        <v>7.5</v>
      </c>
      <c r="M84" s="4">
        <f>L84*5</f>
        <v>37.5</v>
      </c>
      <c r="N84" s="4">
        <v>107</v>
      </c>
      <c r="P84" s="4">
        <f>(M84+N84)/L84</f>
        <v>19.266666666666666</v>
      </c>
      <c r="Q84" s="4">
        <f>M84+N84</f>
        <v>144.5</v>
      </c>
    </row>
    <row r="85" spans="1:19" x14ac:dyDescent="0.35">
      <c r="A85" s="31" t="s">
        <v>325</v>
      </c>
      <c r="B85" s="31">
        <f>B54+B62+B69+B75+B82</f>
        <v>139.5</v>
      </c>
      <c r="C85" s="13">
        <f>C54+C62+C69+C75+C82</f>
        <v>1607.5</v>
      </c>
      <c r="D85" s="13">
        <f>D54+D62+D69+D75+D82</f>
        <v>653</v>
      </c>
      <c r="E85" s="13">
        <f>E54+E62+E69+E75+E82</f>
        <v>432</v>
      </c>
      <c r="F85" s="13">
        <f>(C85+D85+E85)/B85</f>
        <v>19.301075268817204</v>
      </c>
      <c r="G85" s="13">
        <f>C85+D85+E85</f>
        <v>2692.5</v>
      </c>
      <c r="L85" s="63">
        <f>SUM(L81:L84)</f>
        <v>29.5</v>
      </c>
      <c r="M85" s="55">
        <f>SUM(M81:M84)</f>
        <v>207.5</v>
      </c>
      <c r="N85" s="55">
        <f>SUM(N81:N84)</f>
        <v>381</v>
      </c>
      <c r="O85" s="55">
        <f>SUM(O81:O84)</f>
        <v>127</v>
      </c>
      <c r="P85" s="54">
        <f>(M85+N85+O85)/L85</f>
        <v>24.254237288135592</v>
      </c>
      <c r="Q85" s="54">
        <f>M85+N85</f>
        <v>588.5</v>
      </c>
    </row>
    <row r="86" spans="1:19" x14ac:dyDescent="0.35">
      <c r="K86" s="31" t="s">
        <v>1077</v>
      </c>
    </row>
    <row r="87" spans="1:19" x14ac:dyDescent="0.35">
      <c r="K87" t="s">
        <v>1068</v>
      </c>
      <c r="L87">
        <v>6.5</v>
      </c>
      <c r="M87" s="4">
        <f>L87*10</f>
        <v>65</v>
      </c>
      <c r="N87" s="4">
        <v>65</v>
      </c>
      <c r="O87">
        <v>102</v>
      </c>
      <c r="P87" s="4">
        <f>(M87+N87)/L87</f>
        <v>20</v>
      </c>
      <c r="Q87" s="4">
        <f>M87+N87</f>
        <v>130</v>
      </c>
    </row>
    <row r="88" spans="1:19" x14ac:dyDescent="0.35">
      <c r="A88" s="31" t="s">
        <v>888</v>
      </c>
      <c r="K88" t="s">
        <v>1069</v>
      </c>
      <c r="L88">
        <v>7.5</v>
      </c>
      <c r="M88" s="4">
        <f>L88*7.25</f>
        <v>54.375</v>
      </c>
      <c r="N88" s="4">
        <v>112</v>
      </c>
      <c r="P88" s="4">
        <f>(M88+N88)/L88</f>
        <v>22.183333333333334</v>
      </c>
      <c r="Q88" s="4">
        <f>M88+N88</f>
        <v>166.375</v>
      </c>
      <c r="R88" s="31" t="s">
        <v>1057</v>
      </c>
      <c r="S88" s="31"/>
    </row>
    <row r="89" spans="1:19" x14ac:dyDescent="0.35">
      <c r="A89" s="61" t="s">
        <v>592</v>
      </c>
      <c r="B89" s="62" t="s">
        <v>593</v>
      </c>
      <c r="C89" s="62" t="s">
        <v>594</v>
      </c>
      <c r="D89" s="62" t="s">
        <v>343</v>
      </c>
      <c r="K89" t="s">
        <v>1070</v>
      </c>
      <c r="L89">
        <v>5.5</v>
      </c>
      <c r="M89" s="4">
        <f>L89*15</f>
        <v>82.5</v>
      </c>
      <c r="N89" s="4"/>
      <c r="P89" s="4">
        <f>(M89+N89)/L89</f>
        <v>15</v>
      </c>
      <c r="Q89" s="4">
        <f>M89+N89</f>
        <v>82.5</v>
      </c>
      <c r="R89" s="31" t="s">
        <v>1287</v>
      </c>
      <c r="S89" s="31"/>
    </row>
    <row r="90" spans="1:19" ht="15" thickBot="1" x14ac:dyDescent="0.4">
      <c r="A90" t="s">
        <v>595</v>
      </c>
      <c r="K90" t="s">
        <v>1081</v>
      </c>
      <c r="L90">
        <v>7</v>
      </c>
      <c r="M90" s="4">
        <f>L90*7.25</f>
        <v>50.75</v>
      </c>
      <c r="N90" s="4">
        <v>56</v>
      </c>
      <c r="P90" s="4">
        <f>(M90+N90)/L90</f>
        <v>15.25</v>
      </c>
      <c r="Q90" s="4">
        <f>M90+N90</f>
        <v>106.75</v>
      </c>
    </row>
    <row r="91" spans="1:19" ht="15" thickBot="1" x14ac:dyDescent="0.4">
      <c r="A91" t="s">
        <v>336</v>
      </c>
      <c r="L91" s="63">
        <f>SUM(L87:L90)</f>
        <v>26.5</v>
      </c>
      <c r="M91" s="55">
        <f>SUM(M87:M90)</f>
        <v>252.625</v>
      </c>
      <c r="N91" s="55">
        <f>SUM(N87:N90)</f>
        <v>233</v>
      </c>
      <c r="O91" s="55">
        <f>SUM(O87:O90)</f>
        <v>102</v>
      </c>
      <c r="P91" s="54">
        <f>(M91+N91+O91)/L91</f>
        <v>22.174528301886792</v>
      </c>
      <c r="Q91" s="54">
        <f>M91+N91</f>
        <v>485.625</v>
      </c>
    </row>
    <row r="92" spans="1:19" x14ac:dyDescent="0.35">
      <c r="C92" s="55">
        <f>SUM(C88:C91)</f>
        <v>0</v>
      </c>
      <c r="K92" s="31" t="s">
        <v>1078</v>
      </c>
      <c r="M92" s="48"/>
      <c r="N92" s="48"/>
      <c r="O92" s="48"/>
      <c r="P92" s="4"/>
      <c r="Q92" s="4"/>
    </row>
    <row r="93" spans="1:19" ht="15" thickBot="1" x14ac:dyDescent="0.4">
      <c r="K93" t="s">
        <v>1058</v>
      </c>
      <c r="L93">
        <v>1</v>
      </c>
      <c r="M93" s="4">
        <f>L93*10</f>
        <v>10</v>
      </c>
      <c r="N93" s="48">
        <v>0</v>
      </c>
      <c r="O93" s="48"/>
      <c r="P93" s="4">
        <f>(M93+N93)/L93</f>
        <v>10</v>
      </c>
      <c r="Q93" s="4">
        <f>M93+N93</f>
        <v>10</v>
      </c>
      <c r="R93" t="s">
        <v>1013</v>
      </c>
    </row>
    <row r="94" spans="1:19" x14ac:dyDescent="0.35">
      <c r="A94" s="31" t="s">
        <v>664</v>
      </c>
      <c r="C94" t="s">
        <v>596</v>
      </c>
      <c r="L94" s="63">
        <f>SUM(L93)</f>
        <v>1</v>
      </c>
      <c r="M94" s="55">
        <f>SUM(M93)</f>
        <v>10</v>
      </c>
      <c r="N94" s="55">
        <f>SUM(N93)</f>
        <v>0</v>
      </c>
      <c r="O94" s="55">
        <f>SUM(O93)</f>
        <v>0</v>
      </c>
      <c r="P94" s="54">
        <f>(M94+N94+O94)/L94</f>
        <v>10</v>
      </c>
      <c r="Q94" s="54">
        <f>M94+N94</f>
        <v>10</v>
      </c>
    </row>
    <row r="95" spans="1:19" x14ac:dyDescent="0.35">
      <c r="A95" s="61" t="s">
        <v>598</v>
      </c>
      <c r="B95" s="62" t="s">
        <v>593</v>
      </c>
      <c r="C95" s="62" t="s">
        <v>594</v>
      </c>
      <c r="D95" s="62" t="s">
        <v>599</v>
      </c>
      <c r="E95" s="62" t="s">
        <v>600</v>
      </c>
      <c r="F95" s="62" t="s">
        <v>601</v>
      </c>
      <c r="G95" s="62" t="s">
        <v>325</v>
      </c>
      <c r="H95" s="62" t="s">
        <v>343</v>
      </c>
      <c r="K95" s="31" t="s">
        <v>1079</v>
      </c>
    </row>
    <row r="96" spans="1:19" x14ac:dyDescent="0.35">
      <c r="A96" s="31" t="s">
        <v>665</v>
      </c>
      <c r="K96" t="s">
        <v>1082</v>
      </c>
      <c r="L96">
        <v>8.5</v>
      </c>
      <c r="M96" s="4">
        <f>L96*7.25</f>
        <v>61.625</v>
      </c>
      <c r="N96" s="4">
        <v>78</v>
      </c>
      <c r="P96" s="4">
        <f t="shared" ref="P96:P103" si="8">(M96+N96)/L96</f>
        <v>16.426470588235293</v>
      </c>
      <c r="Q96" s="4">
        <f t="shared" ref="Q96:Q104" si="9">M96+N96</f>
        <v>139.625</v>
      </c>
    </row>
    <row r="97" spans="1:21" x14ac:dyDescent="0.35">
      <c r="A97" t="s">
        <v>666</v>
      </c>
      <c r="B97">
        <v>6.5</v>
      </c>
      <c r="C97" s="4">
        <f>B97*10</f>
        <v>65</v>
      </c>
      <c r="D97" s="4">
        <v>42</v>
      </c>
      <c r="F97" s="4">
        <f t="shared" ref="F97:F102" si="10">(C97+D97)/B97</f>
        <v>16.46153846153846</v>
      </c>
      <c r="G97" s="4">
        <f t="shared" ref="G97:G102" si="11">C97+D97</f>
        <v>107</v>
      </c>
      <c r="K97" t="s">
        <v>1083</v>
      </c>
      <c r="L97">
        <v>6</v>
      </c>
      <c r="M97" s="4">
        <f>L97*15</f>
        <v>90</v>
      </c>
      <c r="N97" s="4"/>
      <c r="P97" s="4">
        <f t="shared" si="8"/>
        <v>15</v>
      </c>
      <c r="Q97" s="4">
        <f t="shared" si="9"/>
        <v>90</v>
      </c>
    </row>
    <row r="98" spans="1:21" x14ac:dyDescent="0.35">
      <c r="A98" t="s">
        <v>667</v>
      </c>
      <c r="B98">
        <v>7</v>
      </c>
      <c r="C98" s="4">
        <f>B98*10</f>
        <v>70</v>
      </c>
      <c r="D98" s="4">
        <v>75</v>
      </c>
      <c r="F98" s="4">
        <f t="shared" si="10"/>
        <v>20.714285714285715</v>
      </c>
      <c r="G98" s="4">
        <f t="shared" si="11"/>
        <v>145</v>
      </c>
      <c r="K98" t="s">
        <v>1084</v>
      </c>
      <c r="L98">
        <v>8</v>
      </c>
      <c r="M98" s="4">
        <f>L98*7.25</f>
        <v>58</v>
      </c>
      <c r="N98" s="4">
        <v>110</v>
      </c>
      <c r="P98" s="4">
        <f t="shared" si="8"/>
        <v>21</v>
      </c>
      <c r="Q98" s="4">
        <f t="shared" si="9"/>
        <v>168</v>
      </c>
    </row>
    <row r="99" spans="1:21" x14ac:dyDescent="0.35">
      <c r="A99" t="s">
        <v>668</v>
      </c>
      <c r="B99">
        <v>5.5</v>
      </c>
      <c r="C99" s="4">
        <f>B99*15</f>
        <v>82.5</v>
      </c>
      <c r="D99" s="4">
        <v>0</v>
      </c>
      <c r="F99" s="4">
        <f t="shared" si="10"/>
        <v>15</v>
      </c>
      <c r="G99" s="4">
        <f t="shared" si="11"/>
        <v>82.5</v>
      </c>
      <c r="K99" t="s">
        <v>1085</v>
      </c>
      <c r="L99">
        <v>7.5</v>
      </c>
      <c r="M99" s="4">
        <f>L99*7.25</f>
        <v>54.375</v>
      </c>
      <c r="N99" s="4">
        <v>105</v>
      </c>
      <c r="P99" s="4">
        <f t="shared" si="8"/>
        <v>21.25</v>
      </c>
      <c r="Q99" s="4">
        <f t="shared" si="9"/>
        <v>159.375</v>
      </c>
    </row>
    <row r="100" spans="1:21" x14ac:dyDescent="0.35">
      <c r="A100" t="s">
        <v>669</v>
      </c>
      <c r="B100">
        <v>6</v>
      </c>
      <c r="C100" s="4">
        <f>B100*15</f>
        <v>90</v>
      </c>
      <c r="D100" s="4">
        <v>0</v>
      </c>
      <c r="F100" s="4">
        <f t="shared" si="10"/>
        <v>15</v>
      </c>
      <c r="G100" s="4">
        <f t="shared" si="11"/>
        <v>90</v>
      </c>
      <c r="K100" t="s">
        <v>1086</v>
      </c>
      <c r="L100">
        <v>8</v>
      </c>
      <c r="M100" s="4">
        <f>L100*15</f>
        <v>120</v>
      </c>
      <c r="N100" s="4"/>
      <c r="P100" s="4">
        <f t="shared" si="8"/>
        <v>15</v>
      </c>
      <c r="Q100" s="4">
        <f t="shared" si="9"/>
        <v>120</v>
      </c>
    </row>
    <row r="101" spans="1:21" ht="15" thickBot="1" x14ac:dyDescent="0.4">
      <c r="A101" t="s">
        <v>670</v>
      </c>
      <c r="B101">
        <v>4.5</v>
      </c>
      <c r="C101" s="4">
        <f>B101*10</f>
        <v>45</v>
      </c>
      <c r="D101" s="4">
        <v>24</v>
      </c>
      <c r="F101" s="4">
        <f t="shared" si="10"/>
        <v>15.333333333333334</v>
      </c>
      <c r="G101" s="4">
        <f t="shared" si="11"/>
        <v>69</v>
      </c>
      <c r="K101" t="s">
        <v>1093</v>
      </c>
      <c r="L101">
        <v>5.5</v>
      </c>
      <c r="M101" s="4">
        <f>L101*15</f>
        <v>82.5</v>
      </c>
      <c r="N101" s="4"/>
      <c r="P101" s="4">
        <f t="shared" si="8"/>
        <v>15</v>
      </c>
      <c r="Q101" s="4">
        <f t="shared" si="9"/>
        <v>82.5</v>
      </c>
      <c r="T101" s="150"/>
      <c r="U101" s="150"/>
    </row>
    <row r="102" spans="1:21" x14ac:dyDescent="0.35">
      <c r="B102" s="63">
        <f>SUM(B96:B101)</f>
        <v>29.5</v>
      </c>
      <c r="C102" s="55">
        <f>SUM(C96:C101)</f>
        <v>352.5</v>
      </c>
      <c r="D102" s="55">
        <f>SUM(D96:D101)</f>
        <v>141</v>
      </c>
      <c r="E102" s="55">
        <f>SUM(E96:E101)</f>
        <v>0</v>
      </c>
      <c r="F102" s="54">
        <f t="shared" si="10"/>
        <v>16.728813559322035</v>
      </c>
      <c r="G102" s="54">
        <f t="shared" si="11"/>
        <v>493.5</v>
      </c>
      <c r="K102" t="s">
        <v>1087</v>
      </c>
      <c r="L102">
        <v>8.5</v>
      </c>
      <c r="M102" s="4">
        <f>L102*7.25</f>
        <v>61.625</v>
      </c>
      <c r="N102" s="4">
        <v>172</v>
      </c>
      <c r="O102">
        <v>129</v>
      </c>
      <c r="P102" s="4">
        <f t="shared" si="8"/>
        <v>27.485294117647058</v>
      </c>
      <c r="Q102" s="4">
        <f t="shared" si="9"/>
        <v>233.625</v>
      </c>
    </row>
    <row r="103" spans="1:21" ht="15" thickBot="1" x14ac:dyDescent="0.4">
      <c r="A103" s="31" t="s">
        <v>671</v>
      </c>
      <c r="K103" t="s">
        <v>1092</v>
      </c>
      <c r="L103">
        <v>12</v>
      </c>
      <c r="M103" s="4">
        <f>L103*15</f>
        <v>180</v>
      </c>
      <c r="N103" s="4"/>
      <c r="P103" s="4">
        <f t="shared" si="8"/>
        <v>15</v>
      </c>
      <c r="Q103" s="4">
        <f t="shared" si="9"/>
        <v>180</v>
      </c>
    </row>
    <row r="104" spans="1:21" x14ac:dyDescent="0.35">
      <c r="A104" t="s">
        <v>672</v>
      </c>
      <c r="B104">
        <v>5.25</v>
      </c>
      <c r="C104" s="4">
        <f>B104*15</f>
        <v>78.75</v>
      </c>
      <c r="D104" s="4">
        <v>0</v>
      </c>
      <c r="F104" s="4">
        <f t="shared" ref="F104:F110" si="12">(C104+D104)/B104</f>
        <v>15</v>
      </c>
      <c r="G104" s="4">
        <f t="shared" ref="G104:G110" si="13">C104+D104</f>
        <v>78.75</v>
      </c>
      <c r="L104" s="63">
        <f>SUM(L96:L102)</f>
        <v>52</v>
      </c>
      <c r="M104" s="55">
        <f>SUM(M96:M103)</f>
        <v>708.125</v>
      </c>
      <c r="N104" s="55">
        <f>SUM(N96:N103)</f>
        <v>465</v>
      </c>
      <c r="O104" s="55">
        <f>SUM(O96:O103)</f>
        <v>129</v>
      </c>
      <c r="P104" s="54">
        <f>(M104+N104+O104)/L104</f>
        <v>25.040865384615383</v>
      </c>
      <c r="Q104" s="54">
        <f t="shared" si="9"/>
        <v>1173.125</v>
      </c>
    </row>
    <row r="105" spans="1:21" x14ac:dyDescent="0.35">
      <c r="A105" t="s">
        <v>673</v>
      </c>
      <c r="B105">
        <v>5.75</v>
      </c>
      <c r="C105" s="4">
        <f>B105*10</f>
        <v>57.5</v>
      </c>
      <c r="D105" s="4">
        <v>40</v>
      </c>
      <c r="F105" s="4">
        <f t="shared" si="12"/>
        <v>16.956521739130434</v>
      </c>
      <c r="G105" s="4">
        <f t="shared" si="13"/>
        <v>97.5</v>
      </c>
      <c r="H105" t="s">
        <v>674</v>
      </c>
      <c r="M105" s="48"/>
      <c r="N105" s="48"/>
      <c r="O105" s="48"/>
      <c r="P105" s="4"/>
      <c r="Q105" s="4"/>
    </row>
    <row r="106" spans="1:21" x14ac:dyDescent="0.35">
      <c r="A106" t="s">
        <v>675</v>
      </c>
      <c r="B106">
        <v>8</v>
      </c>
      <c r="C106" s="4">
        <f>B106*5</f>
        <v>40</v>
      </c>
      <c r="D106" s="4">
        <v>10</v>
      </c>
      <c r="F106" s="4">
        <f t="shared" si="12"/>
        <v>6.25</v>
      </c>
      <c r="G106" s="4">
        <f t="shared" si="13"/>
        <v>50</v>
      </c>
      <c r="H106" t="s">
        <v>676</v>
      </c>
      <c r="K106" s="31" t="s">
        <v>325</v>
      </c>
      <c r="L106" s="31">
        <f>L79+L85+L91+L94+L104</f>
        <v>133.5</v>
      </c>
      <c r="M106" s="13">
        <f>M79+M85+M91+M94+M104</f>
        <v>1300.75</v>
      </c>
      <c r="N106" s="13">
        <f>N79+N85+N91+N94+N104</f>
        <v>1380</v>
      </c>
      <c r="O106" s="13">
        <f>O79+O85+O91+O94+O104</f>
        <v>358</v>
      </c>
      <c r="P106" s="13">
        <f>(M106+N106+O106)/L106</f>
        <v>22.762172284644194</v>
      </c>
      <c r="Q106" s="13">
        <f>M106+N106+O106</f>
        <v>3038.75</v>
      </c>
    </row>
    <row r="107" spans="1:21" x14ac:dyDescent="0.35">
      <c r="A107" t="s">
        <v>677</v>
      </c>
      <c r="B107">
        <v>7</v>
      </c>
      <c r="C107" s="4">
        <f>B107*10</f>
        <v>70</v>
      </c>
      <c r="D107" s="4">
        <v>84</v>
      </c>
      <c r="F107" s="4">
        <f t="shared" si="12"/>
        <v>22</v>
      </c>
      <c r="G107" s="4">
        <f t="shared" si="13"/>
        <v>154</v>
      </c>
      <c r="K107" s="31"/>
      <c r="L107" s="31"/>
      <c r="M107" s="13"/>
      <c r="N107" s="13"/>
      <c r="O107" s="13"/>
      <c r="P107" s="13"/>
      <c r="Q107" s="13"/>
    </row>
    <row r="108" spans="1:21" x14ac:dyDescent="0.35">
      <c r="A108" t="s">
        <v>678</v>
      </c>
      <c r="B108">
        <v>8</v>
      </c>
      <c r="C108" s="4">
        <f>B108*10</f>
        <v>80</v>
      </c>
      <c r="D108" s="4">
        <v>54</v>
      </c>
      <c r="F108" s="4">
        <f t="shared" si="12"/>
        <v>16.75</v>
      </c>
      <c r="G108" s="4">
        <f t="shared" si="13"/>
        <v>134</v>
      </c>
      <c r="K108" s="31"/>
      <c r="L108" s="31"/>
      <c r="M108" s="13"/>
      <c r="N108" s="13"/>
      <c r="O108" s="13"/>
      <c r="P108" s="13"/>
      <c r="Q108" s="13"/>
    </row>
    <row r="109" spans="1:21" ht="15" thickBot="1" x14ac:dyDescent="0.4">
      <c r="A109" t="s">
        <v>679</v>
      </c>
      <c r="B109">
        <v>6</v>
      </c>
      <c r="C109" s="4">
        <f>B109*15</f>
        <v>90</v>
      </c>
      <c r="D109" s="4">
        <v>0</v>
      </c>
      <c r="F109" s="4">
        <f t="shared" si="12"/>
        <v>15</v>
      </c>
      <c r="G109" s="4">
        <f t="shared" si="13"/>
        <v>90</v>
      </c>
      <c r="K109" s="31" t="s">
        <v>1071</v>
      </c>
    </row>
    <row r="110" spans="1:21" x14ac:dyDescent="0.35">
      <c r="B110" s="63">
        <f>SUM(B104:B109)</f>
        <v>40</v>
      </c>
      <c r="C110" s="55">
        <f>SUM(C104:C109)</f>
        <v>416.25</v>
      </c>
      <c r="D110" s="55">
        <f>SUM(D104:D109)</f>
        <v>188</v>
      </c>
      <c r="E110" s="55">
        <f>SUM(E104:E109)</f>
        <v>0</v>
      </c>
      <c r="F110" s="54">
        <f t="shared" si="12"/>
        <v>15.106249999999999</v>
      </c>
      <c r="G110" s="54">
        <f t="shared" si="13"/>
        <v>604.25</v>
      </c>
      <c r="K110" s="61" t="s">
        <v>598</v>
      </c>
      <c r="L110" s="62" t="s">
        <v>593</v>
      </c>
      <c r="M110" s="62" t="s">
        <v>594</v>
      </c>
      <c r="N110" s="62" t="s">
        <v>599</v>
      </c>
      <c r="O110" s="62" t="s">
        <v>600</v>
      </c>
      <c r="P110" s="62" t="s">
        <v>601</v>
      </c>
      <c r="Q110" s="62" t="s">
        <v>325</v>
      </c>
      <c r="R110" s="62" t="s">
        <v>343</v>
      </c>
      <c r="S110" s="150"/>
    </row>
    <row r="111" spans="1:21" x14ac:dyDescent="0.35">
      <c r="A111" s="31" t="s">
        <v>680</v>
      </c>
      <c r="K111" s="31" t="s">
        <v>1080</v>
      </c>
    </row>
    <row r="112" spans="1:21" x14ac:dyDescent="0.35">
      <c r="A112" t="s">
        <v>681</v>
      </c>
      <c r="B112">
        <v>8</v>
      </c>
      <c r="C112" s="4">
        <f>B112*5</f>
        <v>40</v>
      </c>
      <c r="D112" s="4">
        <v>27</v>
      </c>
      <c r="F112" s="4">
        <f t="shared" ref="F112:F117" si="14">(C112+D112)/B112</f>
        <v>8.375</v>
      </c>
      <c r="G112" s="4">
        <f t="shared" ref="G112:G117" si="15">C112+D112</f>
        <v>67</v>
      </c>
      <c r="H112" t="s">
        <v>676</v>
      </c>
      <c r="K112" t="s">
        <v>1088</v>
      </c>
      <c r="L112">
        <v>6.5</v>
      </c>
      <c r="M112" s="4">
        <f>L112*15</f>
        <v>97.5</v>
      </c>
      <c r="N112" s="4"/>
      <c r="P112" s="4">
        <f>(M112+N112)/L112</f>
        <v>15</v>
      </c>
      <c r="Q112" s="4">
        <f t="shared" ref="Q112:Q117" si="16">M112+N112</f>
        <v>97.5</v>
      </c>
    </row>
    <row r="113" spans="1:18" x14ac:dyDescent="0.35">
      <c r="A113" t="s">
        <v>682</v>
      </c>
      <c r="B113">
        <v>12</v>
      </c>
      <c r="C113" s="4">
        <f>(6.5*5)+(5.5*15)</f>
        <v>115</v>
      </c>
      <c r="D113" s="4">
        <v>45</v>
      </c>
      <c r="F113" s="4">
        <f t="shared" si="14"/>
        <v>13.333333333333334</v>
      </c>
      <c r="G113" s="4">
        <f t="shared" si="15"/>
        <v>160</v>
      </c>
      <c r="H113" t="s">
        <v>683</v>
      </c>
      <c r="K113" t="s">
        <v>1089</v>
      </c>
      <c r="L113">
        <v>4.5</v>
      </c>
      <c r="M113" s="4">
        <f>L113*15</f>
        <v>67.5</v>
      </c>
      <c r="N113" s="4"/>
      <c r="P113" s="4">
        <f>(M113+N113)/L113</f>
        <v>15</v>
      </c>
      <c r="Q113" s="4">
        <f t="shared" si="16"/>
        <v>67.5</v>
      </c>
      <c r="R113" t="s">
        <v>1097</v>
      </c>
    </row>
    <row r="114" spans="1:18" x14ac:dyDescent="0.35">
      <c r="A114" t="s">
        <v>684</v>
      </c>
      <c r="B114">
        <v>7</v>
      </c>
      <c r="C114" s="4">
        <f>B114*10</f>
        <v>70</v>
      </c>
      <c r="D114" s="4">
        <v>51</v>
      </c>
      <c r="F114" s="4">
        <f t="shared" si="14"/>
        <v>17.285714285714285</v>
      </c>
      <c r="G114" s="4">
        <f t="shared" si="15"/>
        <v>121</v>
      </c>
      <c r="K114" t="s">
        <v>1094</v>
      </c>
      <c r="L114">
        <v>6.5</v>
      </c>
      <c r="M114" s="4">
        <f>L114*7.25</f>
        <v>47.125</v>
      </c>
      <c r="N114" s="4">
        <v>166</v>
      </c>
      <c r="P114" s="4">
        <f>(M114+N114)/L114</f>
        <v>32.78846153846154</v>
      </c>
      <c r="Q114" s="4">
        <f t="shared" si="16"/>
        <v>213.125</v>
      </c>
    </row>
    <row r="115" spans="1:18" x14ac:dyDescent="0.35">
      <c r="A115" t="s">
        <v>685</v>
      </c>
      <c r="B115">
        <v>6.5</v>
      </c>
      <c r="C115" s="4">
        <f>B115*10</f>
        <v>65</v>
      </c>
      <c r="D115" s="4">
        <v>96</v>
      </c>
      <c r="F115" s="4">
        <f t="shared" si="14"/>
        <v>24.76923076923077</v>
      </c>
      <c r="G115" s="4">
        <f t="shared" si="15"/>
        <v>161</v>
      </c>
      <c r="K115" t="s">
        <v>1090</v>
      </c>
      <c r="L115">
        <v>7</v>
      </c>
      <c r="M115" s="4">
        <f>L115*16.5</f>
        <v>115.5</v>
      </c>
      <c r="N115" s="4"/>
      <c r="P115" s="4">
        <f>(M115+N115)/L115</f>
        <v>16.5</v>
      </c>
      <c r="Q115" s="4">
        <f t="shared" si="16"/>
        <v>115.5</v>
      </c>
    </row>
    <row r="116" spans="1:18" ht="15" thickBot="1" x14ac:dyDescent="0.4">
      <c r="A116" t="s">
        <v>686</v>
      </c>
      <c r="B116">
        <v>4.5</v>
      </c>
      <c r="C116" s="4">
        <f>B116*15</f>
        <v>67.5</v>
      </c>
      <c r="D116" s="4">
        <v>0</v>
      </c>
      <c r="E116" s="4">
        <v>345</v>
      </c>
      <c r="F116" s="4">
        <f t="shared" si="14"/>
        <v>15</v>
      </c>
      <c r="G116" s="4">
        <f t="shared" si="15"/>
        <v>67.5</v>
      </c>
      <c r="H116" t="s">
        <v>687</v>
      </c>
      <c r="K116" t="s">
        <v>1091</v>
      </c>
      <c r="L116">
        <v>4</v>
      </c>
      <c r="M116" s="4">
        <f>L116*7.25</f>
        <v>29</v>
      </c>
      <c r="N116" s="4">
        <v>19</v>
      </c>
      <c r="O116" s="47">
        <v>246</v>
      </c>
      <c r="P116" s="4">
        <f>(M116+N116)/L116</f>
        <v>12</v>
      </c>
      <c r="Q116" s="4">
        <f t="shared" si="16"/>
        <v>48</v>
      </c>
    </row>
    <row r="117" spans="1:18" x14ac:dyDescent="0.35">
      <c r="B117" s="63">
        <f>SUM(B111:B116)</f>
        <v>38</v>
      </c>
      <c r="C117" s="55">
        <f>SUM(C111:C116)</f>
        <v>357.5</v>
      </c>
      <c r="D117" s="55">
        <f>SUM(D111:D116)</f>
        <v>219</v>
      </c>
      <c r="E117" s="55">
        <f>SUM(E111:E116)</f>
        <v>345</v>
      </c>
      <c r="F117" s="54">
        <f t="shared" si="14"/>
        <v>15.171052631578947</v>
      </c>
      <c r="G117" s="54">
        <f t="shared" si="15"/>
        <v>576.5</v>
      </c>
      <c r="L117" s="63">
        <f>SUM(L112:L116)</f>
        <v>28.5</v>
      </c>
      <c r="M117" s="55">
        <f>SUM(M112:M116)</f>
        <v>356.625</v>
      </c>
      <c r="N117" s="55">
        <f>SUM(N112:N116)</f>
        <v>185</v>
      </c>
      <c r="O117" s="55">
        <f>SUM(O112:O116)</f>
        <v>246</v>
      </c>
      <c r="P117" s="55">
        <f>(M117+N117+O117)/L117</f>
        <v>27.635964912280702</v>
      </c>
      <c r="Q117" s="54">
        <f t="shared" si="16"/>
        <v>541.625</v>
      </c>
    </row>
    <row r="118" spans="1:18" x14ac:dyDescent="0.35">
      <c r="A118" s="31" t="s">
        <v>688</v>
      </c>
      <c r="K118" s="31" t="s">
        <v>1095</v>
      </c>
      <c r="M118" s="48"/>
      <c r="N118" s="48"/>
      <c r="O118" s="48"/>
      <c r="P118" s="4"/>
      <c r="Q118" s="4"/>
    </row>
    <row r="119" spans="1:18" ht="15" thickBot="1" x14ac:dyDescent="0.4">
      <c r="A119" t="s">
        <v>689</v>
      </c>
      <c r="B119">
        <v>5.5</v>
      </c>
      <c r="C119" s="4">
        <f>B119*10</f>
        <v>55</v>
      </c>
      <c r="D119" s="4">
        <v>33</v>
      </c>
      <c r="F119" s="4">
        <f t="shared" ref="F119:F124" si="17">(C119+D119)/B119</f>
        <v>16</v>
      </c>
      <c r="G119" s="4">
        <f t="shared" ref="G119:G124" si="18">C119+D119</f>
        <v>88</v>
      </c>
      <c r="K119" t="s">
        <v>1058</v>
      </c>
      <c r="L119">
        <v>1</v>
      </c>
      <c r="M119" s="4">
        <f>L119*10</f>
        <v>10</v>
      </c>
      <c r="N119" s="48">
        <v>0</v>
      </c>
      <c r="O119" s="48"/>
      <c r="P119" s="4">
        <f>(M119+N119)/L119</f>
        <v>10</v>
      </c>
      <c r="Q119" s="4">
        <f>M119+N119</f>
        <v>10</v>
      </c>
      <c r="R119" t="s">
        <v>1096</v>
      </c>
    </row>
    <row r="120" spans="1:18" x14ac:dyDescent="0.35">
      <c r="A120" t="s">
        <v>690</v>
      </c>
      <c r="B120">
        <v>4.5</v>
      </c>
      <c r="C120" s="4">
        <f>B120*15</f>
        <v>67.5</v>
      </c>
      <c r="D120" s="4">
        <v>0</v>
      </c>
      <c r="F120" s="4">
        <f t="shared" si="17"/>
        <v>15</v>
      </c>
      <c r="G120" s="4">
        <f t="shared" si="18"/>
        <v>67.5</v>
      </c>
      <c r="H120" t="s">
        <v>691</v>
      </c>
      <c r="L120" s="63">
        <f>SUM(L119)</f>
        <v>1</v>
      </c>
      <c r="M120" s="55">
        <f>SUM(M119)</f>
        <v>10</v>
      </c>
      <c r="N120" s="55">
        <f>SUM(N119)</f>
        <v>0</v>
      </c>
      <c r="O120" s="55">
        <f>SUM(O119)</f>
        <v>0</v>
      </c>
      <c r="P120" s="54">
        <f>(M120+N120+O120)/L120</f>
        <v>10</v>
      </c>
      <c r="Q120" s="54">
        <f>M120+N120</f>
        <v>10</v>
      </c>
    </row>
    <row r="121" spans="1:18" x14ac:dyDescent="0.35">
      <c r="A121" t="s">
        <v>692</v>
      </c>
      <c r="B121">
        <v>5.5</v>
      </c>
      <c r="C121" s="4">
        <f>B121*15</f>
        <v>82.5</v>
      </c>
      <c r="D121" s="4">
        <v>0</v>
      </c>
      <c r="F121" s="4">
        <f t="shared" si="17"/>
        <v>15</v>
      </c>
      <c r="G121" s="4">
        <f t="shared" si="18"/>
        <v>82.5</v>
      </c>
      <c r="K121" s="31" t="s">
        <v>1125</v>
      </c>
    </row>
    <row r="122" spans="1:18" x14ac:dyDescent="0.35">
      <c r="A122" t="s">
        <v>693</v>
      </c>
      <c r="B122">
        <v>8.5</v>
      </c>
      <c r="C122" s="4">
        <f>B122*10</f>
        <v>85</v>
      </c>
      <c r="D122" s="4">
        <v>119</v>
      </c>
      <c r="F122" s="4">
        <f t="shared" si="17"/>
        <v>24</v>
      </c>
      <c r="G122" s="4">
        <f t="shared" si="18"/>
        <v>204</v>
      </c>
      <c r="K122" t="s">
        <v>1120</v>
      </c>
      <c r="L122">
        <v>7</v>
      </c>
      <c r="M122" s="4">
        <f>L122*7.25</f>
        <v>50.75</v>
      </c>
      <c r="N122" s="4">
        <v>78</v>
      </c>
      <c r="O122">
        <v>25</v>
      </c>
      <c r="P122" s="4">
        <f>(M122+N122)/L122</f>
        <v>18.392857142857142</v>
      </c>
      <c r="Q122" s="4">
        <f t="shared" ref="Q122:Q127" si="19">M122+N122</f>
        <v>128.75</v>
      </c>
    </row>
    <row r="123" spans="1:18" ht="15" thickBot="1" x14ac:dyDescent="0.4">
      <c r="A123" t="s">
        <v>694</v>
      </c>
      <c r="B123">
        <v>5</v>
      </c>
      <c r="C123" s="4">
        <f>B123*10</f>
        <v>50</v>
      </c>
      <c r="D123" s="4">
        <v>48</v>
      </c>
      <c r="F123" s="4">
        <f t="shared" si="17"/>
        <v>19.600000000000001</v>
      </c>
      <c r="G123" s="4">
        <f t="shared" si="18"/>
        <v>98</v>
      </c>
      <c r="K123" t="s">
        <v>1121</v>
      </c>
      <c r="L123">
        <v>5.5</v>
      </c>
      <c r="M123" s="4">
        <f>L123*16.5</f>
        <v>90.75</v>
      </c>
      <c r="N123" s="4"/>
      <c r="P123" s="4">
        <f>(M123+N123)/L123</f>
        <v>16.5</v>
      </c>
      <c r="Q123" s="4">
        <f t="shared" si="19"/>
        <v>90.75</v>
      </c>
      <c r="R123" t="s">
        <v>1013</v>
      </c>
    </row>
    <row r="124" spans="1:18" x14ac:dyDescent="0.35">
      <c r="B124" s="63">
        <f>SUM(B118:B123)</f>
        <v>29</v>
      </c>
      <c r="C124" s="55">
        <f>SUM(C118:C123)</f>
        <v>340</v>
      </c>
      <c r="D124" s="55">
        <f>SUM(D118:D123)</f>
        <v>200</v>
      </c>
      <c r="E124" s="55">
        <f>SUM(E118:E123)</f>
        <v>0</v>
      </c>
      <c r="F124" s="54">
        <f t="shared" si="17"/>
        <v>18.620689655172413</v>
      </c>
      <c r="G124" s="54">
        <f t="shared" si="18"/>
        <v>540</v>
      </c>
      <c r="K124" t="s">
        <v>1122</v>
      </c>
      <c r="L124">
        <v>5.5</v>
      </c>
      <c r="M124" s="4">
        <f>L124*16.5</f>
        <v>90.75</v>
      </c>
      <c r="N124" s="4"/>
      <c r="P124" s="4">
        <f>(M124+N124)/L124</f>
        <v>16.5</v>
      </c>
      <c r="Q124" s="4">
        <f t="shared" si="19"/>
        <v>90.75</v>
      </c>
    </row>
    <row r="125" spans="1:18" x14ac:dyDescent="0.35">
      <c r="K125" t="s">
        <v>1123</v>
      </c>
      <c r="L125">
        <v>9.5</v>
      </c>
      <c r="M125" s="4">
        <f>L125*7.25</f>
        <v>68.875</v>
      </c>
      <c r="N125" s="4">
        <v>242</v>
      </c>
      <c r="O125">
        <v>69</v>
      </c>
      <c r="P125" s="4">
        <f>(M125+N125)/L125</f>
        <v>32.723684210526315</v>
      </c>
      <c r="Q125" s="4">
        <f t="shared" si="19"/>
        <v>310.875</v>
      </c>
    </row>
    <row r="126" spans="1:18" ht="15" thickBot="1" x14ac:dyDescent="0.4">
      <c r="A126" s="31" t="s">
        <v>325</v>
      </c>
      <c r="B126" s="31">
        <f>B102+B110+B117+B124</f>
        <v>136.5</v>
      </c>
      <c r="C126" s="13">
        <f>C102+C110+C117+C124</f>
        <v>1466.25</v>
      </c>
      <c r="D126" s="13">
        <f>D102+D110+D117+D124</f>
        <v>748</v>
      </c>
      <c r="E126" s="13">
        <f>E102+E110+E117+E124</f>
        <v>345</v>
      </c>
      <c r="F126" s="13">
        <f>(C126+D126+E126)/B126</f>
        <v>18.749084249084248</v>
      </c>
      <c r="G126" s="13">
        <f>C126+D126+E126</f>
        <v>2559.25</v>
      </c>
      <c r="K126" t="s">
        <v>1124</v>
      </c>
      <c r="L126">
        <v>1</v>
      </c>
      <c r="M126" s="4">
        <f>L126*7.25</f>
        <v>7.25</v>
      </c>
      <c r="N126" s="4"/>
      <c r="P126" s="4">
        <f>(M126+N126)/L126</f>
        <v>7.25</v>
      </c>
      <c r="Q126" s="4">
        <f t="shared" si="19"/>
        <v>7.25</v>
      </c>
    </row>
    <row r="127" spans="1:18" x14ac:dyDescent="0.35">
      <c r="L127" s="63">
        <f>SUM(L122:L126)</f>
        <v>28.5</v>
      </c>
      <c r="M127" s="55">
        <f>SUM(M122:M126)</f>
        <v>308.375</v>
      </c>
      <c r="N127" s="55">
        <f>SUM(N122:N126)</f>
        <v>320</v>
      </c>
      <c r="O127" s="55">
        <f>SUM(O122:O126)</f>
        <v>94</v>
      </c>
      <c r="P127" s="55">
        <f>(M127+N127+O127)/L127</f>
        <v>25.346491228070175</v>
      </c>
      <c r="Q127" s="54">
        <f t="shared" si="19"/>
        <v>628.375</v>
      </c>
    </row>
    <row r="128" spans="1:18" x14ac:dyDescent="0.35">
      <c r="K128" s="31" t="s">
        <v>1126</v>
      </c>
    </row>
    <row r="129" spans="1:21" x14ac:dyDescent="0.35">
      <c r="A129" s="31" t="s">
        <v>889</v>
      </c>
      <c r="C129" t="s">
        <v>596</v>
      </c>
      <c r="E129" t="s">
        <v>582</v>
      </c>
      <c r="K129" t="s">
        <v>1128</v>
      </c>
      <c r="L129">
        <v>7</v>
      </c>
      <c r="M129" s="4">
        <f>L129*7.25</f>
        <v>50.75</v>
      </c>
      <c r="N129" s="4">
        <v>199</v>
      </c>
      <c r="P129" s="4">
        <f t="shared" ref="P129:P135" si="20">(M129+N129)/L129</f>
        <v>35.678571428571431</v>
      </c>
      <c r="Q129" s="4">
        <f t="shared" ref="Q129:Q136" si="21">M129+N129</f>
        <v>249.75</v>
      </c>
      <c r="R129" t="s">
        <v>1127</v>
      </c>
    </row>
    <row r="130" spans="1:21" x14ac:dyDescent="0.35">
      <c r="A130" s="61" t="s">
        <v>598</v>
      </c>
      <c r="B130" s="62" t="s">
        <v>593</v>
      </c>
      <c r="C130" s="62" t="s">
        <v>594</v>
      </c>
      <c r="D130" s="62" t="s">
        <v>599</v>
      </c>
      <c r="E130" s="62" t="s">
        <v>600</v>
      </c>
      <c r="F130" s="62" t="s">
        <v>601</v>
      </c>
      <c r="G130" s="62" t="s">
        <v>325</v>
      </c>
      <c r="H130" s="62" t="s">
        <v>343</v>
      </c>
      <c r="K130" t="s">
        <v>1129</v>
      </c>
      <c r="L130">
        <v>8.5</v>
      </c>
      <c r="M130" s="4">
        <f>L130*7.25</f>
        <v>61.625</v>
      </c>
      <c r="N130" s="4">
        <v>134</v>
      </c>
      <c r="P130" s="4">
        <f t="shared" si="20"/>
        <v>23.014705882352942</v>
      </c>
      <c r="Q130" s="4">
        <f t="shared" si="21"/>
        <v>195.625</v>
      </c>
      <c r="T130" s="150"/>
      <c r="U130" s="150"/>
    </row>
    <row r="131" spans="1:21" x14ac:dyDescent="0.35">
      <c r="A131" s="31" t="s">
        <v>695</v>
      </c>
      <c r="K131" t="s">
        <v>1130</v>
      </c>
      <c r="L131">
        <v>5.5</v>
      </c>
      <c r="M131" s="4">
        <f>L131*16.5</f>
        <v>90.75</v>
      </c>
      <c r="N131" s="4"/>
      <c r="O131">
        <v>46</v>
      </c>
      <c r="P131" s="4">
        <f t="shared" si="20"/>
        <v>16.5</v>
      </c>
      <c r="Q131" s="4">
        <f t="shared" si="21"/>
        <v>90.75</v>
      </c>
    </row>
    <row r="132" spans="1:21" x14ac:dyDescent="0.35">
      <c r="A132" t="s">
        <v>696</v>
      </c>
      <c r="B132">
        <v>5.5</v>
      </c>
      <c r="C132" s="4">
        <f>B132*15</f>
        <v>82.5</v>
      </c>
      <c r="D132" s="4">
        <v>0</v>
      </c>
      <c r="F132" s="4">
        <f t="shared" ref="F132:F137" si="22">(C132+D132)/B132</f>
        <v>15</v>
      </c>
      <c r="G132" s="4">
        <f t="shared" ref="G132:G137" si="23">C132+D132</f>
        <v>82.5</v>
      </c>
      <c r="K132" t="s">
        <v>1133</v>
      </c>
      <c r="L132">
        <v>5.5</v>
      </c>
      <c r="M132" s="4">
        <f>L132*7.25</f>
        <v>39.875</v>
      </c>
      <c r="N132" s="4">
        <v>96</v>
      </c>
      <c r="P132" s="4">
        <f t="shared" si="20"/>
        <v>24.704545454545453</v>
      </c>
      <c r="Q132" s="4">
        <f t="shared" si="21"/>
        <v>135.875</v>
      </c>
      <c r="R132" t="s">
        <v>1132</v>
      </c>
    </row>
    <row r="133" spans="1:21" x14ac:dyDescent="0.35">
      <c r="A133" t="s">
        <v>697</v>
      </c>
      <c r="B133">
        <v>9</v>
      </c>
      <c r="C133" s="4">
        <f>B133*5</f>
        <v>45</v>
      </c>
      <c r="D133" s="4">
        <v>92</v>
      </c>
      <c r="F133" s="4">
        <f t="shared" si="22"/>
        <v>15.222222222222221</v>
      </c>
      <c r="G133" s="4">
        <f t="shared" si="23"/>
        <v>137</v>
      </c>
      <c r="H133" t="s">
        <v>698</v>
      </c>
      <c r="K133" t="s">
        <v>1134</v>
      </c>
      <c r="L133">
        <v>8.5</v>
      </c>
      <c r="M133" s="4">
        <f>L133*7.25</f>
        <v>61.625</v>
      </c>
      <c r="N133" s="4">
        <v>317</v>
      </c>
      <c r="P133" s="4">
        <f t="shared" si="20"/>
        <v>44.544117647058826</v>
      </c>
      <c r="Q133" s="4">
        <f t="shared" si="21"/>
        <v>378.625</v>
      </c>
      <c r="R133" t="s">
        <v>1132</v>
      </c>
    </row>
    <row r="134" spans="1:21" x14ac:dyDescent="0.35">
      <c r="A134" t="s">
        <v>699</v>
      </c>
      <c r="B134">
        <v>6</v>
      </c>
      <c r="C134" s="4">
        <f>B134*10</f>
        <v>60</v>
      </c>
      <c r="D134" s="4">
        <v>67</v>
      </c>
      <c r="F134" s="4">
        <f t="shared" si="22"/>
        <v>21.166666666666668</v>
      </c>
      <c r="G134" s="4">
        <f t="shared" si="23"/>
        <v>127</v>
      </c>
      <c r="K134" t="s">
        <v>1131</v>
      </c>
      <c r="L134">
        <v>12.5</v>
      </c>
      <c r="M134" s="4">
        <f>L134*7.25</f>
        <v>90.625</v>
      </c>
      <c r="N134" s="4">
        <v>192</v>
      </c>
      <c r="P134" s="4">
        <f t="shared" si="20"/>
        <v>22.61</v>
      </c>
      <c r="Q134" s="4">
        <f t="shared" si="21"/>
        <v>282.625</v>
      </c>
      <c r="R134" t="s">
        <v>1132</v>
      </c>
    </row>
    <row r="135" spans="1:21" ht="15" thickBot="1" x14ac:dyDescent="0.4">
      <c r="A135" t="s">
        <v>700</v>
      </c>
      <c r="B135">
        <v>7.5</v>
      </c>
      <c r="C135" s="4">
        <f>B135*15</f>
        <v>112.5</v>
      </c>
      <c r="D135" s="4">
        <v>0</v>
      </c>
      <c r="F135" s="4">
        <f t="shared" si="22"/>
        <v>15</v>
      </c>
      <c r="G135" s="4">
        <f t="shared" si="23"/>
        <v>112.5</v>
      </c>
      <c r="K135" t="s">
        <v>1092</v>
      </c>
      <c r="L135">
        <v>7.5</v>
      </c>
      <c r="M135" s="4">
        <f>L135*10</f>
        <v>75</v>
      </c>
      <c r="N135" s="4"/>
      <c r="P135" s="4">
        <f t="shared" si="20"/>
        <v>10</v>
      </c>
      <c r="Q135" s="4">
        <f t="shared" si="21"/>
        <v>75</v>
      </c>
    </row>
    <row r="136" spans="1:21" ht="15" thickBot="1" x14ac:dyDescent="0.4">
      <c r="A136" t="s">
        <v>701</v>
      </c>
      <c r="B136">
        <v>12</v>
      </c>
      <c r="C136" s="4">
        <f>(4*15)+(8*5)</f>
        <v>100</v>
      </c>
      <c r="D136" s="4">
        <v>125</v>
      </c>
      <c r="F136" s="4">
        <f t="shared" si="22"/>
        <v>18.75</v>
      </c>
      <c r="G136" s="4">
        <f t="shared" si="23"/>
        <v>225</v>
      </c>
      <c r="H136" t="s">
        <v>702</v>
      </c>
      <c r="L136" s="63">
        <f>SUM(L129:L134)</f>
        <v>47.5</v>
      </c>
      <c r="M136" s="55">
        <f>SUM(M129:M135)</f>
        <v>470.25</v>
      </c>
      <c r="N136" s="55">
        <f>SUM(N129:N135)</f>
        <v>938</v>
      </c>
      <c r="O136" s="55">
        <f>SUM(O129:O134)</f>
        <v>46</v>
      </c>
      <c r="P136" s="55">
        <f>(M136+N136+O136)/L136</f>
        <v>30.61578947368421</v>
      </c>
      <c r="Q136" s="54">
        <f t="shared" si="21"/>
        <v>1408.25</v>
      </c>
    </row>
    <row r="137" spans="1:21" x14ac:dyDescent="0.35">
      <c r="B137" s="63">
        <f>SUM(B131:B136)</f>
        <v>40</v>
      </c>
      <c r="C137" s="55">
        <f>SUM(C131:C136)</f>
        <v>400</v>
      </c>
      <c r="D137" s="55">
        <f>SUM(D131:D136)</f>
        <v>284</v>
      </c>
      <c r="E137" s="55">
        <f>SUM(E131:E136)</f>
        <v>0</v>
      </c>
      <c r="F137" s="54">
        <f t="shared" si="22"/>
        <v>17.100000000000001</v>
      </c>
      <c r="G137" s="54">
        <f t="shared" si="23"/>
        <v>684</v>
      </c>
      <c r="K137" s="31"/>
      <c r="L137" s="31"/>
      <c r="M137" s="13"/>
      <c r="N137" s="13"/>
      <c r="O137" s="13"/>
      <c r="P137" s="13"/>
      <c r="Q137" s="13"/>
    </row>
    <row r="138" spans="1:21" x14ac:dyDescent="0.35">
      <c r="A138" s="31" t="s">
        <v>703</v>
      </c>
      <c r="K138" s="31" t="s">
        <v>325</v>
      </c>
      <c r="L138" s="31">
        <f>L117+L127+L136</f>
        <v>104.5</v>
      </c>
      <c r="M138" s="13">
        <f>M117+M127+M136</f>
        <v>1135.25</v>
      </c>
      <c r="N138" s="13">
        <f>N117+N127+N136</f>
        <v>1443</v>
      </c>
      <c r="O138" s="13">
        <f>O117+O127+O136</f>
        <v>386</v>
      </c>
      <c r="P138" s="13">
        <f>(M138+N138+O138)/L138</f>
        <v>28.366028708133971</v>
      </c>
      <c r="Q138" s="13">
        <f>M138+N138+O138</f>
        <v>2964.25</v>
      </c>
    </row>
    <row r="139" spans="1:21" x14ac:dyDescent="0.35">
      <c r="A139" t="s">
        <v>704</v>
      </c>
      <c r="B139">
        <v>9.5</v>
      </c>
      <c r="C139" s="4">
        <f>B139*5</f>
        <v>47.5</v>
      </c>
      <c r="D139" s="4">
        <v>179</v>
      </c>
      <c r="F139" s="4">
        <f t="shared" ref="F139:F144" si="24">(C139+D139)/B139</f>
        <v>23.842105263157894</v>
      </c>
      <c r="G139" s="4">
        <f t="shared" ref="G139:G144" si="25">C139+D139</f>
        <v>226.5</v>
      </c>
      <c r="H139" t="s">
        <v>705</v>
      </c>
      <c r="K139" s="31"/>
      <c r="L139" s="31"/>
      <c r="M139" s="13"/>
      <c r="N139" s="13"/>
      <c r="O139" s="13"/>
      <c r="P139" s="13"/>
      <c r="Q139" s="13"/>
    </row>
    <row r="140" spans="1:21" x14ac:dyDescent="0.35">
      <c r="A140" t="s">
        <v>706</v>
      </c>
      <c r="B140">
        <v>5.5</v>
      </c>
      <c r="C140" s="4">
        <f>B140*10</f>
        <v>55</v>
      </c>
      <c r="D140" s="4">
        <v>30</v>
      </c>
      <c r="F140" s="4">
        <f t="shared" si="24"/>
        <v>15.454545454545455</v>
      </c>
      <c r="G140" s="4">
        <f t="shared" si="25"/>
        <v>85</v>
      </c>
      <c r="H140" t="s">
        <v>707</v>
      </c>
      <c r="K140" s="31"/>
      <c r="L140" s="31"/>
      <c r="M140" s="13"/>
      <c r="N140" s="13"/>
      <c r="O140" s="13"/>
      <c r="P140" s="13"/>
      <c r="Q140" s="13"/>
    </row>
    <row r="141" spans="1:21" x14ac:dyDescent="0.35">
      <c r="A141" t="s">
        <v>708</v>
      </c>
      <c r="B141">
        <v>5.5</v>
      </c>
      <c r="C141" s="4">
        <f>B141*10</f>
        <v>55</v>
      </c>
      <c r="D141" s="4">
        <v>50</v>
      </c>
      <c r="E141" s="4">
        <v>267</v>
      </c>
      <c r="F141" s="4">
        <f t="shared" si="24"/>
        <v>19.09090909090909</v>
      </c>
      <c r="G141" s="4">
        <f t="shared" si="25"/>
        <v>105</v>
      </c>
      <c r="H141" t="s">
        <v>709</v>
      </c>
      <c r="K141" s="31" t="s">
        <v>1136</v>
      </c>
    </row>
    <row r="142" spans="1:21" x14ac:dyDescent="0.35">
      <c r="A142" t="s">
        <v>710</v>
      </c>
      <c r="B142">
        <v>7</v>
      </c>
      <c r="C142" s="4">
        <f>B142*15</f>
        <v>105</v>
      </c>
      <c r="D142" s="4">
        <v>0</v>
      </c>
      <c r="F142" s="4">
        <f t="shared" si="24"/>
        <v>15</v>
      </c>
      <c r="G142" s="4">
        <f t="shared" si="25"/>
        <v>105</v>
      </c>
      <c r="K142" s="61" t="s">
        <v>598</v>
      </c>
      <c r="L142" s="62" t="s">
        <v>593</v>
      </c>
      <c r="M142" s="62" t="s">
        <v>594</v>
      </c>
      <c r="N142" s="62" t="s">
        <v>599</v>
      </c>
      <c r="O142" s="62" t="s">
        <v>600</v>
      </c>
      <c r="P142" s="62" t="s">
        <v>601</v>
      </c>
      <c r="Q142" s="62" t="s">
        <v>325</v>
      </c>
      <c r="R142" s="62" t="s">
        <v>343</v>
      </c>
      <c r="S142" s="150"/>
    </row>
    <row r="143" spans="1:21" ht="15" thickBot="1" x14ac:dyDescent="0.4">
      <c r="A143" t="s">
        <v>711</v>
      </c>
      <c r="B143">
        <v>4</v>
      </c>
      <c r="C143" s="4">
        <f>B143*15</f>
        <v>60</v>
      </c>
      <c r="D143" s="4">
        <v>0</v>
      </c>
      <c r="F143" s="4">
        <f t="shared" si="24"/>
        <v>15</v>
      </c>
      <c r="G143" s="4">
        <f t="shared" si="25"/>
        <v>60</v>
      </c>
      <c r="K143" s="31" t="s">
        <v>1137</v>
      </c>
    </row>
    <row r="144" spans="1:21" x14ac:dyDescent="0.35">
      <c r="B144" s="63">
        <f>SUM(B138:B143)</f>
        <v>31.5</v>
      </c>
      <c r="C144" s="55">
        <f>SUM(C138:C143)</f>
        <v>322.5</v>
      </c>
      <c r="D144" s="55">
        <f>SUM(D138:D143)</f>
        <v>259</v>
      </c>
      <c r="E144" s="55">
        <f>SUM(E138:E143)</f>
        <v>267</v>
      </c>
      <c r="F144" s="54">
        <f t="shared" si="24"/>
        <v>18.460317460317459</v>
      </c>
      <c r="G144" s="54">
        <f t="shared" si="25"/>
        <v>581.5</v>
      </c>
      <c r="K144" t="s">
        <v>1139</v>
      </c>
      <c r="L144">
        <v>4</v>
      </c>
      <c r="M144" s="4">
        <f>L144*18</f>
        <v>72</v>
      </c>
      <c r="N144" s="4"/>
      <c r="P144" s="4">
        <f>(M144+N144)/L144</f>
        <v>18</v>
      </c>
      <c r="Q144" s="4">
        <f>M144+N144</f>
        <v>72</v>
      </c>
      <c r="R144" t="s">
        <v>1135</v>
      </c>
    </row>
    <row r="145" spans="1:18" x14ac:dyDescent="0.35">
      <c r="A145" s="31" t="s">
        <v>712</v>
      </c>
      <c r="K145" t="s">
        <v>1140</v>
      </c>
      <c r="L145">
        <v>8</v>
      </c>
      <c r="M145" s="4">
        <f>L145*7.25</f>
        <v>58</v>
      </c>
      <c r="N145" s="4">
        <v>128</v>
      </c>
      <c r="P145" s="4">
        <f>(M145+N145)/L145</f>
        <v>23.25</v>
      </c>
      <c r="Q145" s="4">
        <f>M145+N145</f>
        <v>186</v>
      </c>
    </row>
    <row r="146" spans="1:18" ht="15" thickBot="1" x14ac:dyDescent="0.4">
      <c r="A146" t="s">
        <v>713</v>
      </c>
      <c r="B146">
        <v>6</v>
      </c>
      <c r="C146" s="4">
        <f>B146*5</f>
        <v>30</v>
      </c>
      <c r="D146" s="4">
        <v>92</v>
      </c>
      <c r="F146" s="4">
        <f>(C146+D146)/B146</f>
        <v>20.333333333333332</v>
      </c>
      <c r="G146" s="4">
        <f>C146+D146</f>
        <v>122</v>
      </c>
      <c r="K146" t="s">
        <v>1138</v>
      </c>
      <c r="L146">
        <v>10.5</v>
      </c>
      <c r="M146" s="4">
        <f>L146*7.25</f>
        <v>76.125</v>
      </c>
      <c r="N146" s="4">
        <v>224</v>
      </c>
      <c r="O146">
        <v>67</v>
      </c>
      <c r="P146" s="4">
        <f>(M146+N146)/L146</f>
        <v>28.583333333333332</v>
      </c>
      <c r="Q146" s="4">
        <f>M146+N146</f>
        <v>300.125</v>
      </c>
    </row>
    <row r="147" spans="1:18" x14ac:dyDescent="0.35">
      <c r="A147" t="s">
        <v>714</v>
      </c>
      <c r="B147">
        <v>6</v>
      </c>
      <c r="C147" s="4">
        <f>B147*10</f>
        <v>60</v>
      </c>
      <c r="D147" s="4">
        <v>52</v>
      </c>
      <c r="F147" s="4">
        <f>(C147+D147)/B147</f>
        <v>18.666666666666668</v>
      </c>
      <c r="G147" s="4">
        <f>C147+D147</f>
        <v>112</v>
      </c>
      <c r="L147" s="63">
        <f>SUM(L144:L146)</f>
        <v>22.5</v>
      </c>
      <c r="M147" s="55">
        <f>SUM(M144:M146)</f>
        <v>206.125</v>
      </c>
      <c r="N147" s="55">
        <f>SUM(N144:N146)</f>
        <v>352</v>
      </c>
      <c r="O147" s="55">
        <f>SUM(O144:O146)</f>
        <v>67</v>
      </c>
      <c r="P147" s="55">
        <f>(M147+N147+O147)/L147</f>
        <v>27.783333333333335</v>
      </c>
      <c r="Q147" s="54">
        <f>M147+N147</f>
        <v>558.125</v>
      </c>
    </row>
    <row r="148" spans="1:18" x14ac:dyDescent="0.35">
      <c r="A148" t="s">
        <v>715</v>
      </c>
      <c r="B148">
        <v>5</v>
      </c>
      <c r="C148" s="4">
        <f>B148*10</f>
        <v>50</v>
      </c>
      <c r="D148" s="4">
        <v>44</v>
      </c>
      <c r="F148" s="4">
        <f>(C148+D148)/B148</f>
        <v>18.8</v>
      </c>
      <c r="G148" s="4">
        <f>C148+D148</f>
        <v>94</v>
      </c>
      <c r="H148" t="s">
        <v>716</v>
      </c>
      <c r="K148" s="31" t="s">
        <v>1141</v>
      </c>
    </row>
    <row r="149" spans="1:18" ht="15" thickBot="1" x14ac:dyDescent="0.4">
      <c r="A149" t="s">
        <v>717</v>
      </c>
      <c r="B149">
        <v>6</v>
      </c>
      <c r="C149" s="4">
        <f>B149*15</f>
        <v>90</v>
      </c>
      <c r="D149" s="4">
        <v>0</v>
      </c>
      <c r="F149" s="4">
        <f>(C149+D149)/B149</f>
        <v>15</v>
      </c>
      <c r="G149" s="4">
        <f>C149+D149</f>
        <v>90</v>
      </c>
      <c r="K149" t="s">
        <v>1142</v>
      </c>
      <c r="L149">
        <v>9</v>
      </c>
      <c r="M149" s="4">
        <f>L149*7.25</f>
        <v>65.25</v>
      </c>
      <c r="N149" s="4">
        <v>218</v>
      </c>
      <c r="O149">
        <v>34</v>
      </c>
      <c r="P149" s="4">
        <f>(M149+N149)/L149</f>
        <v>31.472222222222221</v>
      </c>
      <c r="Q149" s="4">
        <f t="shared" ref="Q149:Q154" si="26">M149+N149</f>
        <v>283.25</v>
      </c>
    </row>
    <row r="150" spans="1:18" x14ac:dyDescent="0.35">
      <c r="B150" s="63">
        <f>SUM(B146:B149)</f>
        <v>23</v>
      </c>
      <c r="C150" s="55">
        <f>SUM(C146:C149)</f>
        <v>230</v>
      </c>
      <c r="D150" s="55">
        <f>SUM(D146:D149)</f>
        <v>188</v>
      </c>
      <c r="E150" s="55">
        <f>SUM(E146:E149)</f>
        <v>0</v>
      </c>
      <c r="F150" s="54">
        <f>(C150+D150)/B150</f>
        <v>18.173913043478262</v>
      </c>
      <c r="G150" s="54">
        <f>C150+D150</f>
        <v>418</v>
      </c>
      <c r="K150" t="s">
        <v>1143</v>
      </c>
      <c r="L150">
        <v>8.5</v>
      </c>
      <c r="M150" s="4">
        <f>L150*7.25</f>
        <v>61.625</v>
      </c>
      <c r="N150" s="4">
        <v>157</v>
      </c>
      <c r="O150">
        <v>42</v>
      </c>
      <c r="P150" s="4">
        <f>(M150+N150)/L150</f>
        <v>25.720588235294116</v>
      </c>
      <c r="Q150" s="4">
        <f t="shared" si="26"/>
        <v>218.625</v>
      </c>
      <c r="R150" t="s">
        <v>1152</v>
      </c>
    </row>
    <row r="151" spans="1:18" x14ac:dyDescent="0.35">
      <c r="A151" s="31" t="s">
        <v>718</v>
      </c>
      <c r="K151" t="s">
        <v>1144</v>
      </c>
      <c r="L151">
        <v>5.5</v>
      </c>
      <c r="M151" s="4">
        <f>L151*16.5</f>
        <v>90.75</v>
      </c>
      <c r="N151" s="4"/>
      <c r="P151" s="4">
        <f>(M151+N151)/L151</f>
        <v>16.5</v>
      </c>
      <c r="Q151" s="4">
        <f t="shared" si="26"/>
        <v>90.75</v>
      </c>
    </row>
    <row r="152" spans="1:18" x14ac:dyDescent="0.35">
      <c r="A152" t="s">
        <v>719</v>
      </c>
      <c r="B152">
        <v>6</v>
      </c>
      <c r="C152" s="4">
        <f>B152*15</f>
        <v>90</v>
      </c>
      <c r="D152" s="4">
        <v>0</v>
      </c>
      <c r="F152" s="4">
        <f>(C152+D152)/B152</f>
        <v>15</v>
      </c>
      <c r="G152" s="4">
        <f>C152+D152</f>
        <v>90</v>
      </c>
      <c r="H152" t="s">
        <v>720</v>
      </c>
      <c r="K152" t="s">
        <v>1145</v>
      </c>
      <c r="L152">
        <v>7.5</v>
      </c>
      <c r="M152" s="4">
        <f>L152*7.25</f>
        <v>54.375</v>
      </c>
      <c r="N152" s="4">
        <v>113</v>
      </c>
      <c r="O152">
        <v>24</v>
      </c>
      <c r="P152" s="4">
        <f>(M152+N152)/L152</f>
        <v>22.316666666666666</v>
      </c>
      <c r="Q152" s="4">
        <f t="shared" si="26"/>
        <v>167.375</v>
      </c>
    </row>
    <row r="153" spans="1:18" ht="15" thickBot="1" x14ac:dyDescent="0.4">
      <c r="A153" t="s">
        <v>721</v>
      </c>
      <c r="B153">
        <v>5</v>
      </c>
      <c r="C153" s="4">
        <f>B153*15</f>
        <v>75</v>
      </c>
      <c r="D153" s="4">
        <v>0</v>
      </c>
      <c r="F153" s="4">
        <f>(C153+D153)/B153</f>
        <v>15</v>
      </c>
      <c r="G153" s="4">
        <f>C153+D153</f>
        <v>75</v>
      </c>
      <c r="K153" t="s">
        <v>1146</v>
      </c>
      <c r="L153">
        <v>9</v>
      </c>
      <c r="M153" s="4">
        <f>L153*7.25</f>
        <v>65.25</v>
      </c>
      <c r="N153" s="4">
        <v>204</v>
      </c>
      <c r="O153">
        <v>51</v>
      </c>
      <c r="P153" s="4">
        <f>(M153+N153)/L153</f>
        <v>29.916666666666668</v>
      </c>
      <c r="Q153" s="4">
        <f t="shared" si="26"/>
        <v>269.25</v>
      </c>
    </row>
    <row r="154" spans="1:18" x14ac:dyDescent="0.35">
      <c r="A154" t="s">
        <v>722</v>
      </c>
      <c r="B154">
        <v>10.5</v>
      </c>
      <c r="C154" s="4">
        <f>B154*5</f>
        <v>52.5</v>
      </c>
      <c r="D154" s="4">
        <v>252</v>
      </c>
      <c r="F154" s="4">
        <f>(C154+D154)/B154</f>
        <v>29</v>
      </c>
      <c r="G154" s="4">
        <f>C154+D154</f>
        <v>304.5</v>
      </c>
      <c r="H154" t="s">
        <v>723</v>
      </c>
      <c r="L154" s="63">
        <f>SUM(L149:L153)</f>
        <v>39.5</v>
      </c>
      <c r="M154" s="55">
        <f>SUM(M149:M153)</f>
        <v>337.25</v>
      </c>
      <c r="N154" s="55">
        <f>SUM(N149:N153)</f>
        <v>692</v>
      </c>
      <c r="O154" s="55">
        <f>SUM(O149:O153)</f>
        <v>151</v>
      </c>
      <c r="P154" s="55">
        <f>(M154+N154+O154)/L154</f>
        <v>29.879746835443036</v>
      </c>
      <c r="Q154" s="54">
        <f t="shared" si="26"/>
        <v>1029.25</v>
      </c>
    </row>
    <row r="155" spans="1:18" ht="15" thickBot="1" x14ac:dyDescent="0.4">
      <c r="A155" t="s">
        <v>724</v>
      </c>
      <c r="B155">
        <v>7</v>
      </c>
      <c r="C155" s="4">
        <f>B155*15</f>
        <v>105</v>
      </c>
      <c r="D155" s="4">
        <v>0</v>
      </c>
      <c r="E155" s="4">
        <v>135</v>
      </c>
      <c r="F155" s="4">
        <f>(C155+D155)/B155</f>
        <v>15</v>
      </c>
      <c r="G155" s="4">
        <f>C155+D155</f>
        <v>105</v>
      </c>
      <c r="H155" t="s">
        <v>725</v>
      </c>
      <c r="K155" s="31" t="s">
        <v>1159</v>
      </c>
    </row>
    <row r="156" spans="1:18" x14ac:dyDescent="0.35">
      <c r="B156" s="63">
        <f>SUM(B152:B155)</f>
        <v>28.5</v>
      </c>
      <c r="C156" s="55">
        <f>SUM(C152:C155)</f>
        <v>322.5</v>
      </c>
      <c r="D156" s="55">
        <f>SUM(D152:D155)</f>
        <v>252</v>
      </c>
      <c r="E156" s="55">
        <f>SUM(E152:E155)</f>
        <v>135</v>
      </c>
      <c r="F156" s="54">
        <f>(C156+D156)/B156</f>
        <v>20.157894736842106</v>
      </c>
      <c r="G156" s="54">
        <f>C156+D156</f>
        <v>574.5</v>
      </c>
      <c r="K156" t="s">
        <v>1160</v>
      </c>
      <c r="L156">
        <v>7.5</v>
      </c>
      <c r="M156" s="4">
        <f>L156*7.25</f>
        <v>54.375</v>
      </c>
      <c r="N156" s="4">
        <v>151</v>
      </c>
      <c r="O156">
        <v>6</v>
      </c>
      <c r="P156" s="4">
        <f>(M156+N156)/L156</f>
        <v>27.383333333333333</v>
      </c>
      <c r="Q156" s="4">
        <f>M156+N156</f>
        <v>205.375</v>
      </c>
    </row>
    <row r="157" spans="1:18" x14ac:dyDescent="0.35">
      <c r="A157" s="31" t="s">
        <v>726</v>
      </c>
      <c r="K157" t="s">
        <v>1161</v>
      </c>
      <c r="L157">
        <v>8</v>
      </c>
      <c r="M157" s="4">
        <f>L157*7.25</f>
        <v>58</v>
      </c>
      <c r="N157" s="4">
        <v>125</v>
      </c>
      <c r="O157">
        <v>0</v>
      </c>
      <c r="P157" s="4">
        <f>(M157+N157)/L157</f>
        <v>22.875</v>
      </c>
      <c r="Q157" s="4">
        <f>M157+N157</f>
        <v>183</v>
      </c>
    </row>
    <row r="158" spans="1:18" x14ac:dyDescent="0.35">
      <c r="A158" t="s">
        <v>727</v>
      </c>
      <c r="B158">
        <v>6</v>
      </c>
      <c r="C158" s="4">
        <f>B158*15</f>
        <v>90</v>
      </c>
      <c r="D158" s="4">
        <v>0</v>
      </c>
      <c r="F158" s="4">
        <f>(C158+D158)/B158</f>
        <v>15</v>
      </c>
      <c r="G158" s="4">
        <f>C158+D158</f>
        <v>90</v>
      </c>
      <c r="H158" t="s">
        <v>728</v>
      </c>
      <c r="K158" t="s">
        <v>1162</v>
      </c>
      <c r="L158">
        <v>7.5</v>
      </c>
      <c r="M158" s="4">
        <f>L158*7.25</f>
        <v>54.375</v>
      </c>
      <c r="N158" s="4">
        <v>160</v>
      </c>
      <c r="O158">
        <v>65</v>
      </c>
      <c r="P158" s="4">
        <f>(M158+N158)/L158</f>
        <v>28.583333333333332</v>
      </c>
      <c r="Q158" s="4">
        <f>M158+N158</f>
        <v>214.375</v>
      </c>
    </row>
    <row r="159" spans="1:18" ht="15" thickBot="1" x14ac:dyDescent="0.4">
      <c r="A159" t="s">
        <v>729</v>
      </c>
      <c r="B159">
        <v>10</v>
      </c>
      <c r="C159" s="4">
        <f>B159*10</f>
        <v>100</v>
      </c>
      <c r="D159" s="4">
        <v>100</v>
      </c>
      <c r="F159" s="4">
        <f>(C159+D159)/B159</f>
        <v>20</v>
      </c>
      <c r="G159" s="4">
        <f>C159+D159</f>
        <v>200</v>
      </c>
      <c r="H159" t="s">
        <v>730</v>
      </c>
      <c r="K159" t="s">
        <v>1196</v>
      </c>
      <c r="L159">
        <v>9.5</v>
      </c>
      <c r="M159" s="4">
        <f>L159*7.25</f>
        <v>68.875</v>
      </c>
      <c r="N159" s="4">
        <v>274</v>
      </c>
      <c r="O159">
        <v>73</v>
      </c>
      <c r="P159" s="4">
        <f>(M159+N159)/L159</f>
        <v>36.092105263157897</v>
      </c>
      <c r="Q159" s="4">
        <f>M159+N159</f>
        <v>342.875</v>
      </c>
    </row>
    <row r="160" spans="1:18" ht="15" thickBot="1" x14ac:dyDescent="0.4">
      <c r="A160" t="s">
        <v>731</v>
      </c>
      <c r="B160">
        <v>13</v>
      </c>
      <c r="C160" s="4">
        <f>B160*10</f>
        <v>130</v>
      </c>
      <c r="D160" s="4">
        <v>219</v>
      </c>
      <c r="E160">
        <v>45</v>
      </c>
      <c r="F160" s="4">
        <f>(C160+D160)/B160</f>
        <v>26.846153846153847</v>
      </c>
      <c r="G160" s="4">
        <f>C160+D160</f>
        <v>349</v>
      </c>
      <c r="H160" t="s">
        <v>730</v>
      </c>
      <c r="L160" s="63">
        <f>SUM(L156:L159)</f>
        <v>32.5</v>
      </c>
      <c r="M160" s="55">
        <f>SUM(M156:M159)</f>
        <v>235.625</v>
      </c>
      <c r="N160" s="55">
        <f>SUM(N156:N159)</f>
        <v>710</v>
      </c>
      <c r="O160" s="55">
        <f>SUM(O156:O159)</f>
        <v>144</v>
      </c>
      <c r="P160" s="55">
        <f>(M160+N160+O160)/L160</f>
        <v>33.526923076923076</v>
      </c>
      <c r="Q160" s="54">
        <f>M160+N160</f>
        <v>945.625</v>
      </c>
    </row>
    <row r="161" spans="1:21" x14ac:dyDescent="0.35">
      <c r="B161" s="63">
        <f>SUM(B157:B160)</f>
        <v>29</v>
      </c>
      <c r="C161" s="55">
        <f>SUM(C157:C160)</f>
        <v>320</v>
      </c>
      <c r="D161" s="55">
        <f>SUM(D157:D160)</f>
        <v>319</v>
      </c>
      <c r="E161" s="55">
        <f>SUM(E157:E160)</f>
        <v>45</v>
      </c>
      <c r="F161" s="54">
        <f>(C161+D161)/B161</f>
        <v>22.03448275862069</v>
      </c>
      <c r="G161" s="54">
        <f>C161+D161</f>
        <v>639</v>
      </c>
      <c r="K161" s="31" t="s">
        <v>1195</v>
      </c>
    </row>
    <row r="162" spans="1:21" x14ac:dyDescent="0.35">
      <c r="K162" t="s">
        <v>1176</v>
      </c>
      <c r="L162">
        <v>9</v>
      </c>
      <c r="M162" s="4">
        <f>L162*7.25</f>
        <v>65.25</v>
      </c>
      <c r="N162" s="4">
        <v>118</v>
      </c>
      <c r="O162">
        <v>30</v>
      </c>
      <c r="P162" s="4">
        <f>(M162+N162)/L162</f>
        <v>20.361111111111111</v>
      </c>
      <c r="Q162" s="4">
        <f>M162+N162</f>
        <v>183.25</v>
      </c>
      <c r="R162" t="s">
        <v>1177</v>
      </c>
    </row>
    <row r="163" spans="1:21" x14ac:dyDescent="0.35">
      <c r="A163" s="31" t="s">
        <v>325</v>
      </c>
      <c r="B163" s="31">
        <f>B137+B144+B150+B156+B161</f>
        <v>152</v>
      </c>
      <c r="C163" s="13">
        <f>C137+C144+C150+C156+C161</f>
        <v>1595</v>
      </c>
      <c r="D163" s="13">
        <f>D137+D144+D150+D156+D161</f>
        <v>1302</v>
      </c>
      <c r="E163" s="13">
        <f>E137+E144+E150+E156+E161</f>
        <v>447</v>
      </c>
      <c r="F163" s="13">
        <f>(C163+D163+E163)/B163</f>
        <v>22</v>
      </c>
      <c r="G163" s="13">
        <f>C163+D163+E163</f>
        <v>3344</v>
      </c>
      <c r="K163" t="s">
        <v>1197</v>
      </c>
      <c r="L163">
        <v>5.5</v>
      </c>
      <c r="M163" s="4">
        <f>L163*16.5</f>
        <v>90.75</v>
      </c>
      <c r="N163" s="4"/>
      <c r="P163" s="4">
        <f>(M163+N163)/L163</f>
        <v>16.5</v>
      </c>
      <c r="Q163" s="4">
        <f>M163+N163</f>
        <v>90.75</v>
      </c>
    </row>
    <row r="164" spans="1:21" ht="15" thickBot="1" x14ac:dyDescent="0.4">
      <c r="K164" t="s">
        <v>1198</v>
      </c>
      <c r="L164">
        <v>6</v>
      </c>
      <c r="M164" s="4">
        <f>L164*16.5</f>
        <v>99</v>
      </c>
      <c r="N164" s="4"/>
      <c r="P164" s="4">
        <f>(M164+N164)/L164</f>
        <v>16.5</v>
      </c>
      <c r="Q164" s="4">
        <f>M164+N164</f>
        <v>99</v>
      </c>
    </row>
    <row r="165" spans="1:21" x14ac:dyDescent="0.35">
      <c r="L165" s="63">
        <f>SUM(L162:L164)</f>
        <v>20.5</v>
      </c>
      <c r="M165" s="55">
        <f>SUM(M162:M164)</f>
        <v>255</v>
      </c>
      <c r="N165" s="55">
        <f>SUM(N162:N164)</f>
        <v>118</v>
      </c>
      <c r="O165" s="55">
        <f>SUM(O162:O164)</f>
        <v>30</v>
      </c>
      <c r="P165" s="55">
        <f>(M165+N165+O165)/L165</f>
        <v>19.658536585365855</v>
      </c>
      <c r="Q165" s="54">
        <f>M165+N165</f>
        <v>373</v>
      </c>
    </row>
    <row r="166" spans="1:21" x14ac:dyDescent="0.35">
      <c r="A166" s="31" t="s">
        <v>890</v>
      </c>
      <c r="C166" t="s">
        <v>596</v>
      </c>
      <c r="E166" t="s">
        <v>582</v>
      </c>
      <c r="M166" s="48"/>
      <c r="N166" s="48"/>
      <c r="O166" s="48"/>
      <c r="P166" s="48"/>
      <c r="Q166" s="4"/>
      <c r="T166" s="150"/>
      <c r="U166" s="150"/>
    </row>
    <row r="167" spans="1:21" x14ac:dyDescent="0.35">
      <c r="A167" s="61" t="s">
        <v>598</v>
      </c>
      <c r="B167" s="62" t="s">
        <v>593</v>
      </c>
      <c r="C167" s="62" t="s">
        <v>594</v>
      </c>
      <c r="D167" s="62" t="s">
        <v>599</v>
      </c>
      <c r="E167" s="62" t="s">
        <v>600</v>
      </c>
      <c r="F167" s="62" t="s">
        <v>601</v>
      </c>
      <c r="G167" s="62" t="s">
        <v>325</v>
      </c>
      <c r="H167" s="62" t="s">
        <v>343</v>
      </c>
      <c r="K167" s="31" t="s">
        <v>325</v>
      </c>
      <c r="L167" s="31">
        <f>L147+L154+L160+L165</f>
        <v>115</v>
      </c>
      <c r="M167" s="13">
        <f>M147+M154+M160+M165</f>
        <v>1034</v>
      </c>
      <c r="N167" s="13">
        <f>N147+N154+N160+N165</f>
        <v>1872</v>
      </c>
      <c r="O167" s="13">
        <f>O147+O154+O160+O165</f>
        <v>392</v>
      </c>
      <c r="P167" s="13">
        <f>(M167+N167+O167)/L167</f>
        <v>28.678260869565218</v>
      </c>
      <c r="Q167" s="13">
        <f>M167+N167+O167</f>
        <v>3298</v>
      </c>
      <c r="T167" s="150"/>
      <c r="U167" s="150"/>
    </row>
    <row r="168" spans="1:21" x14ac:dyDescent="0.35">
      <c r="A168" s="31" t="s">
        <v>732</v>
      </c>
      <c r="K168" s="31"/>
      <c r="L168" s="31"/>
      <c r="M168" s="13"/>
      <c r="N168" s="13"/>
      <c r="O168" s="13"/>
      <c r="P168" s="13"/>
      <c r="Q168" s="13"/>
      <c r="T168" s="149"/>
      <c r="U168" s="149"/>
    </row>
    <row r="169" spans="1:21" x14ac:dyDescent="0.35">
      <c r="A169" t="s">
        <v>733</v>
      </c>
      <c r="B169">
        <v>7</v>
      </c>
      <c r="C169" s="4">
        <f>B169*5</f>
        <v>35</v>
      </c>
      <c r="D169" s="4">
        <v>111</v>
      </c>
      <c r="F169" s="4">
        <f>(C169+D169)/B169</f>
        <v>20.857142857142858</v>
      </c>
      <c r="G169" s="4">
        <f>C169+D169</f>
        <v>146</v>
      </c>
      <c r="H169" t="s">
        <v>734</v>
      </c>
      <c r="K169" s="31"/>
      <c r="L169" s="31"/>
      <c r="M169" s="13"/>
      <c r="N169" s="13"/>
      <c r="O169" s="13"/>
      <c r="P169" s="13"/>
      <c r="Q169" s="13"/>
    </row>
    <row r="170" spans="1:21" x14ac:dyDescent="0.35">
      <c r="A170" t="s">
        <v>735</v>
      </c>
      <c r="B170">
        <v>8</v>
      </c>
      <c r="C170" s="4">
        <f>B170*5</f>
        <v>40</v>
      </c>
      <c r="D170" s="4">
        <v>120</v>
      </c>
      <c r="F170" s="4">
        <f>(C170+D170)/B170</f>
        <v>20</v>
      </c>
      <c r="G170" s="4">
        <f>C170+D170</f>
        <v>160</v>
      </c>
      <c r="K170" s="31" t="s">
        <v>1178</v>
      </c>
    </row>
    <row r="171" spans="1:21" ht="15" thickBot="1" x14ac:dyDescent="0.4">
      <c r="A171" t="s">
        <v>736</v>
      </c>
      <c r="B171">
        <v>5</v>
      </c>
      <c r="C171" s="4">
        <f>B171*15</f>
        <v>75</v>
      </c>
      <c r="F171" s="4">
        <f>(C171+D171)/B171</f>
        <v>15</v>
      </c>
      <c r="G171" s="4">
        <f>C171+D171</f>
        <v>75</v>
      </c>
      <c r="K171" s="61" t="s">
        <v>598</v>
      </c>
      <c r="L171" s="62" t="s">
        <v>593</v>
      </c>
      <c r="M171" s="62" t="s">
        <v>594</v>
      </c>
      <c r="N171" s="62" t="s">
        <v>599</v>
      </c>
      <c r="O171" s="62" t="s">
        <v>600</v>
      </c>
      <c r="P171" s="62" t="s">
        <v>601</v>
      </c>
      <c r="Q171" s="62" t="s">
        <v>325</v>
      </c>
      <c r="R171" s="62" t="s">
        <v>343</v>
      </c>
      <c r="S171" s="150"/>
    </row>
    <row r="172" spans="1:21" x14ac:dyDescent="0.35">
      <c r="B172" s="63">
        <f>SUM(B168:B171)</f>
        <v>20</v>
      </c>
      <c r="C172" s="55">
        <f>SUM(C168:C171)</f>
        <v>150</v>
      </c>
      <c r="D172" s="55">
        <f>SUM(D168:D171)</f>
        <v>231</v>
      </c>
      <c r="E172" s="55">
        <f>SUM(E168:E171)</f>
        <v>0</v>
      </c>
      <c r="F172" s="54">
        <f>(C172+D172)/B172</f>
        <v>19.05</v>
      </c>
      <c r="G172" s="54">
        <f>C172+D172</f>
        <v>381</v>
      </c>
      <c r="K172" s="31" t="s">
        <v>1203</v>
      </c>
    </row>
    <row r="173" spans="1:21" x14ac:dyDescent="0.35">
      <c r="A173" s="31" t="s">
        <v>737</v>
      </c>
      <c r="K173" t="s">
        <v>1200</v>
      </c>
      <c r="L173">
        <v>9</v>
      </c>
      <c r="M173" s="4">
        <f>L173*7.25</f>
        <v>65.25</v>
      </c>
      <c r="N173" s="4">
        <v>125</v>
      </c>
      <c r="O173">
        <v>16</v>
      </c>
      <c r="P173" s="4">
        <f>(M173+N173)/L173</f>
        <v>21.138888888888889</v>
      </c>
      <c r="Q173" s="4">
        <f>M173+N173</f>
        <v>190.25</v>
      </c>
    </row>
    <row r="174" spans="1:21" ht="15" thickBot="1" x14ac:dyDescent="0.4">
      <c r="A174" t="s">
        <v>738</v>
      </c>
      <c r="B174">
        <v>7</v>
      </c>
      <c r="C174" s="4">
        <f>B174*15</f>
        <v>105</v>
      </c>
      <c r="D174" s="4">
        <v>111</v>
      </c>
      <c r="F174" s="4">
        <f>(C174+D174)/B174</f>
        <v>30.857142857142858</v>
      </c>
      <c r="G174" s="4">
        <f>C174+D174</f>
        <v>216</v>
      </c>
      <c r="K174" t="s">
        <v>1199</v>
      </c>
      <c r="L174">
        <v>5</v>
      </c>
      <c r="M174" s="4">
        <f>L174*16.5</f>
        <v>82.5</v>
      </c>
      <c r="N174" s="4"/>
      <c r="P174" s="4">
        <f>(M174+N174)/L174</f>
        <v>16.5</v>
      </c>
      <c r="Q174" s="4">
        <f>M174+N174</f>
        <v>82.5</v>
      </c>
    </row>
    <row r="175" spans="1:21" x14ac:dyDescent="0.35">
      <c r="B175" s="63">
        <f>SUM(B174)</f>
        <v>7</v>
      </c>
      <c r="C175" s="55">
        <f>SUM(C174)</f>
        <v>105</v>
      </c>
      <c r="D175" s="55">
        <f>SUM(D174)</f>
        <v>111</v>
      </c>
      <c r="E175" s="55">
        <f>SUM(E174)</f>
        <v>0</v>
      </c>
      <c r="F175" s="54">
        <f>(C175+D175)/B175</f>
        <v>30.857142857142858</v>
      </c>
      <c r="G175" s="54">
        <f>C175+D175</f>
        <v>216</v>
      </c>
      <c r="K175" t="s">
        <v>1201</v>
      </c>
      <c r="L175">
        <v>6</v>
      </c>
      <c r="M175" s="4">
        <f>L175*16.5</f>
        <v>99</v>
      </c>
      <c r="N175" s="4"/>
      <c r="P175" s="4">
        <f>(M175+N175)/L175</f>
        <v>16.5</v>
      </c>
      <c r="Q175" s="4">
        <f>M175+N175</f>
        <v>99</v>
      </c>
    </row>
    <row r="176" spans="1:21" ht="15" thickBot="1" x14ac:dyDescent="0.4">
      <c r="A176" s="31" t="s">
        <v>739</v>
      </c>
      <c r="H176" t="s">
        <v>740</v>
      </c>
      <c r="K176" t="s">
        <v>1202</v>
      </c>
      <c r="L176">
        <v>9</v>
      </c>
      <c r="M176" s="4">
        <f>L176*7.25</f>
        <v>65.25</v>
      </c>
      <c r="N176" s="4">
        <v>209</v>
      </c>
      <c r="O176">
        <v>0</v>
      </c>
      <c r="P176" s="4">
        <f>(M176+N176)/L176</f>
        <v>30.472222222222221</v>
      </c>
      <c r="Q176" s="4">
        <f>M176+N176</f>
        <v>274.25</v>
      </c>
    </row>
    <row r="177" spans="1:21" x14ac:dyDescent="0.35">
      <c r="A177" t="s">
        <v>741</v>
      </c>
      <c r="B177">
        <v>8.5</v>
      </c>
      <c r="C177" s="4">
        <f>B177*10</f>
        <v>85</v>
      </c>
      <c r="D177" s="4">
        <v>92</v>
      </c>
      <c r="F177" s="4">
        <f>(C177+D177)/B177</f>
        <v>20.823529411764707</v>
      </c>
      <c r="G177" s="4">
        <f>C177+D177</f>
        <v>177</v>
      </c>
      <c r="L177" s="63">
        <f>SUM(L173:L176)</f>
        <v>29</v>
      </c>
      <c r="M177" s="55">
        <f>SUM(M173:M176)</f>
        <v>312</v>
      </c>
      <c r="N177" s="55">
        <f>SUM(N173:N176)</f>
        <v>334</v>
      </c>
      <c r="O177" s="55">
        <f>SUM(O173:O176)</f>
        <v>16</v>
      </c>
      <c r="P177" s="55">
        <f>(M177+N177+O177)/L177</f>
        <v>22.827586206896552</v>
      </c>
      <c r="Q177" s="54">
        <f>M177+N177</f>
        <v>646</v>
      </c>
    </row>
    <row r="178" spans="1:21" ht="15" thickBot="1" x14ac:dyDescent="0.4">
      <c r="A178" t="s">
        <v>742</v>
      </c>
      <c r="B178">
        <v>5</v>
      </c>
      <c r="C178" s="4">
        <f>B178*15</f>
        <v>75</v>
      </c>
      <c r="F178" s="4">
        <f>(C178+D178)/B178</f>
        <v>15</v>
      </c>
      <c r="G178" s="4">
        <f>C178+D178</f>
        <v>75</v>
      </c>
      <c r="K178" s="31" t="s">
        <v>1204</v>
      </c>
    </row>
    <row r="179" spans="1:21" x14ac:dyDescent="0.35">
      <c r="B179" s="63">
        <f>SUM(B177:B178)</f>
        <v>13.5</v>
      </c>
      <c r="C179" s="55">
        <f>SUM(C177:C178)</f>
        <v>160</v>
      </c>
      <c r="D179" s="55">
        <f>SUM(D177:D178)</f>
        <v>92</v>
      </c>
      <c r="E179" s="55">
        <f>SUM(E177:E178)</f>
        <v>0</v>
      </c>
      <c r="F179" s="54">
        <f>(C179+D179)/B179</f>
        <v>18.666666666666668</v>
      </c>
      <c r="G179" s="54">
        <f>C179+D179</f>
        <v>252</v>
      </c>
      <c r="K179" t="s">
        <v>1205</v>
      </c>
      <c r="L179">
        <v>7.5</v>
      </c>
      <c r="M179" s="4">
        <f>L179*7.25</f>
        <v>54.375</v>
      </c>
      <c r="N179" s="4">
        <v>77</v>
      </c>
      <c r="O179">
        <v>0</v>
      </c>
      <c r="P179" s="4">
        <f>(M179+N179)/L179</f>
        <v>17.516666666666666</v>
      </c>
      <c r="Q179" s="4">
        <f t="shared" ref="Q179:Q184" si="27">M179+N179</f>
        <v>131.375</v>
      </c>
    </row>
    <row r="180" spans="1:21" x14ac:dyDescent="0.35">
      <c r="A180" s="31" t="s">
        <v>743</v>
      </c>
      <c r="K180" t="s">
        <v>1206</v>
      </c>
      <c r="L180">
        <v>8</v>
      </c>
      <c r="M180" s="4">
        <f>L180*7.25</f>
        <v>58</v>
      </c>
      <c r="N180" s="4">
        <v>126</v>
      </c>
      <c r="O180">
        <v>36</v>
      </c>
      <c r="P180" s="4">
        <f>(M180+N180)/L180</f>
        <v>23</v>
      </c>
      <c r="Q180" s="4">
        <f t="shared" si="27"/>
        <v>184</v>
      </c>
    </row>
    <row r="181" spans="1:21" x14ac:dyDescent="0.35">
      <c r="A181" t="s">
        <v>744</v>
      </c>
      <c r="B181">
        <v>8</v>
      </c>
      <c r="C181" s="4">
        <f>B181*10</f>
        <v>80</v>
      </c>
      <c r="D181" s="4">
        <v>86</v>
      </c>
      <c r="F181" s="4">
        <f>(C181+D181)/B181</f>
        <v>20.75</v>
      </c>
      <c r="G181" s="4">
        <f>C181+D181</f>
        <v>166</v>
      </c>
      <c r="K181" t="s">
        <v>1207</v>
      </c>
      <c r="L181">
        <v>5</v>
      </c>
      <c r="M181" s="4">
        <f>L181*16.5</f>
        <v>82.5</v>
      </c>
      <c r="N181" s="4"/>
      <c r="P181" s="4">
        <f>(M181+N181)/L181</f>
        <v>16.5</v>
      </c>
      <c r="Q181" s="4">
        <f t="shared" si="27"/>
        <v>82.5</v>
      </c>
    </row>
    <row r="182" spans="1:21" ht="15" thickBot="1" x14ac:dyDescent="0.4">
      <c r="A182" t="s">
        <v>745</v>
      </c>
      <c r="B182">
        <v>5</v>
      </c>
      <c r="C182" s="4">
        <f>B182*15</f>
        <v>75</v>
      </c>
      <c r="F182" s="4">
        <f>(C182+D182)/B182</f>
        <v>15</v>
      </c>
      <c r="G182" s="4">
        <f>C182+D182</f>
        <v>75</v>
      </c>
      <c r="K182" t="s">
        <v>1208</v>
      </c>
      <c r="L182">
        <v>6</v>
      </c>
      <c r="M182" s="4">
        <f>L182*16.5</f>
        <v>99</v>
      </c>
      <c r="N182" s="4"/>
      <c r="P182" s="4">
        <f>(M182+N182)/L182</f>
        <v>16.5</v>
      </c>
      <c r="Q182" s="4">
        <f t="shared" si="27"/>
        <v>99</v>
      </c>
    </row>
    <row r="183" spans="1:21" ht="15" thickBot="1" x14ac:dyDescent="0.4">
      <c r="B183" s="63">
        <f>SUM(B181:B182)</f>
        <v>13</v>
      </c>
      <c r="C183" s="55">
        <f>SUM(C181:C182)</f>
        <v>155</v>
      </c>
      <c r="D183" s="55">
        <f>SUM(D181:D182)</f>
        <v>86</v>
      </c>
      <c r="E183" s="55">
        <f>SUM(E181:E182)</f>
        <v>0</v>
      </c>
      <c r="F183" s="54">
        <f>(C183+D183)/B183</f>
        <v>18.53846153846154</v>
      </c>
      <c r="G183" s="54">
        <f>C183+D183</f>
        <v>241</v>
      </c>
      <c r="K183" t="s">
        <v>1209</v>
      </c>
      <c r="L183">
        <v>5.5</v>
      </c>
      <c r="M183" s="4">
        <f>L183*16.5</f>
        <v>90.75</v>
      </c>
      <c r="N183" s="4"/>
      <c r="P183" s="4">
        <f>(M183+N183)/L183</f>
        <v>16.5</v>
      </c>
      <c r="Q183" s="4">
        <f t="shared" si="27"/>
        <v>90.75</v>
      </c>
    </row>
    <row r="184" spans="1:21" x14ac:dyDescent="0.35">
      <c r="L184" s="63">
        <f>SUM(L179:L183)</f>
        <v>32</v>
      </c>
      <c r="M184" s="55">
        <f>SUM(M179:M183)</f>
        <v>384.625</v>
      </c>
      <c r="N184" s="55">
        <f>SUM(N179:N183)</f>
        <v>203</v>
      </c>
      <c r="O184" s="55">
        <f>SUM(O179:O183)</f>
        <v>36</v>
      </c>
      <c r="P184" s="55">
        <f>(M184+N184+O184)/L184</f>
        <v>19.48828125</v>
      </c>
      <c r="Q184" s="54">
        <f t="shared" si="27"/>
        <v>587.625</v>
      </c>
    </row>
    <row r="185" spans="1:21" x14ac:dyDescent="0.35">
      <c r="A185" s="31" t="s">
        <v>325</v>
      </c>
      <c r="B185" s="31">
        <f>B172+B175+B179+B183</f>
        <v>53.5</v>
      </c>
      <c r="C185" s="11">
        <f>C172+C175+C179+C183</f>
        <v>570</v>
      </c>
      <c r="D185" s="11">
        <f>D172+D175+D179+D183</f>
        <v>520</v>
      </c>
      <c r="E185" s="11">
        <f>E172+E175+E179+E183</f>
        <v>0</v>
      </c>
      <c r="F185" s="13">
        <f>(C185+D185+E185)/B185</f>
        <v>20.373831775700936</v>
      </c>
      <c r="G185" s="13">
        <f>C185+D185+E185</f>
        <v>1090</v>
      </c>
      <c r="K185" s="31" t="s">
        <v>1213</v>
      </c>
    </row>
    <row r="186" spans="1:21" x14ac:dyDescent="0.35">
      <c r="K186" t="s">
        <v>1210</v>
      </c>
      <c r="L186">
        <v>5</v>
      </c>
      <c r="M186" s="4">
        <f>L186*16.5</f>
        <v>82.5</v>
      </c>
      <c r="N186" s="4"/>
      <c r="P186" s="4">
        <f>(M186+N186)/L186</f>
        <v>16.5</v>
      </c>
      <c r="Q186" s="4">
        <f>M186+N186</f>
        <v>82.5</v>
      </c>
      <c r="R186" t="s">
        <v>1013</v>
      </c>
    </row>
    <row r="187" spans="1:21" x14ac:dyDescent="0.35">
      <c r="K187" t="s">
        <v>1211</v>
      </c>
      <c r="L187">
        <v>11</v>
      </c>
      <c r="M187" s="4">
        <f>L187*16.5</f>
        <v>181.5</v>
      </c>
      <c r="N187" s="4"/>
      <c r="P187" s="4">
        <f>(M187+N187)/L187</f>
        <v>16.5</v>
      </c>
      <c r="Q187" s="4">
        <f>M187+N187</f>
        <v>181.5</v>
      </c>
      <c r="R187" t="s">
        <v>1194</v>
      </c>
    </row>
    <row r="188" spans="1:21" ht="15" thickBot="1" x14ac:dyDescent="0.4">
      <c r="A188" s="31" t="s">
        <v>891</v>
      </c>
      <c r="C188" t="s">
        <v>596</v>
      </c>
      <c r="E188" t="s">
        <v>582</v>
      </c>
      <c r="K188" t="s">
        <v>1212</v>
      </c>
      <c r="L188">
        <v>11</v>
      </c>
      <c r="M188" s="4">
        <f>L188*7.25</f>
        <v>79.75</v>
      </c>
      <c r="N188" s="4">
        <v>224</v>
      </c>
      <c r="O188">
        <v>29</v>
      </c>
      <c r="P188" s="4">
        <f>(M188+N188)/L188</f>
        <v>27.613636363636363</v>
      </c>
      <c r="Q188" s="4">
        <f>M188+N188</f>
        <v>303.75</v>
      </c>
      <c r="T188" s="150"/>
      <c r="U188" s="150"/>
    </row>
    <row r="189" spans="1:21" x14ac:dyDescent="0.35">
      <c r="A189" s="61" t="s">
        <v>598</v>
      </c>
      <c r="B189" s="62" t="s">
        <v>593</v>
      </c>
      <c r="C189" s="62" t="s">
        <v>594</v>
      </c>
      <c r="D189" s="62" t="s">
        <v>599</v>
      </c>
      <c r="E189" s="62" t="s">
        <v>600</v>
      </c>
      <c r="F189" s="62" t="s">
        <v>601</v>
      </c>
      <c r="G189" s="62" t="s">
        <v>325</v>
      </c>
      <c r="H189" s="62" t="s">
        <v>343</v>
      </c>
      <c r="L189" s="63">
        <f>SUM(L186:L188)</f>
        <v>27</v>
      </c>
      <c r="M189" s="55">
        <f>SUM(M186:M188)</f>
        <v>343.75</v>
      </c>
      <c r="N189" s="55">
        <f>SUM(N186:N188)</f>
        <v>224</v>
      </c>
      <c r="O189" s="55">
        <f>SUM(O186:O188)</f>
        <v>29</v>
      </c>
      <c r="P189" s="55">
        <f>(M189+N189+O189)/L189</f>
        <v>22.101851851851851</v>
      </c>
      <c r="Q189" s="54">
        <f>M189+N189</f>
        <v>567.75</v>
      </c>
    </row>
    <row r="190" spans="1:21" x14ac:dyDescent="0.35">
      <c r="A190" s="31" t="s">
        <v>746</v>
      </c>
      <c r="H190" t="s">
        <v>747</v>
      </c>
      <c r="K190" s="31" t="s">
        <v>1224</v>
      </c>
    </row>
    <row r="191" spans="1:21" x14ac:dyDescent="0.35">
      <c r="A191" t="s">
        <v>748</v>
      </c>
      <c r="B191">
        <v>7</v>
      </c>
      <c r="C191" s="4">
        <f>B191*15</f>
        <v>105</v>
      </c>
      <c r="F191" s="4">
        <f>(C191+D191)/B191</f>
        <v>15</v>
      </c>
      <c r="G191" s="4">
        <f>C191+D191</f>
        <v>105</v>
      </c>
      <c r="K191" t="s">
        <v>1214</v>
      </c>
      <c r="L191">
        <v>9</v>
      </c>
      <c r="M191" s="4">
        <f>L191*7.25</f>
        <v>65.25</v>
      </c>
      <c r="N191" s="4">
        <v>202</v>
      </c>
      <c r="O191">
        <v>24</v>
      </c>
      <c r="P191" s="4">
        <f>(M191+N191)/L191</f>
        <v>29.694444444444443</v>
      </c>
      <c r="Q191" s="4">
        <f>M191+N191</f>
        <v>267.25</v>
      </c>
    </row>
    <row r="192" spans="1:21" ht="15" thickBot="1" x14ac:dyDescent="0.4">
      <c r="A192" t="s">
        <v>749</v>
      </c>
      <c r="B192">
        <v>5</v>
      </c>
      <c r="C192" s="4">
        <f>B192*15</f>
        <v>75</v>
      </c>
      <c r="F192" s="4">
        <f>(C192+D192)/B192</f>
        <v>15</v>
      </c>
      <c r="G192" s="4">
        <f>C192+D192</f>
        <v>75</v>
      </c>
      <c r="K192" t="s">
        <v>1215</v>
      </c>
      <c r="L192">
        <v>6</v>
      </c>
      <c r="M192" s="4">
        <f>L192*16.5</f>
        <v>99</v>
      </c>
      <c r="N192" s="4"/>
      <c r="P192" s="4">
        <f>(M192+N192)/L192</f>
        <v>16.5</v>
      </c>
      <c r="Q192" s="4">
        <f>M192+N192</f>
        <v>99</v>
      </c>
    </row>
    <row r="193" spans="1:19" x14ac:dyDescent="0.35">
      <c r="B193" s="63">
        <f>SUM(B191:B192)</f>
        <v>12</v>
      </c>
      <c r="C193" s="55">
        <f>SUM(C191:C192)</f>
        <v>180</v>
      </c>
      <c r="D193" s="55">
        <f>SUM(D191:D192)</f>
        <v>0</v>
      </c>
      <c r="E193" s="55">
        <f>SUM(E191:E192)</f>
        <v>0</v>
      </c>
      <c r="F193" s="54">
        <f>(C193+D193)/B193</f>
        <v>15</v>
      </c>
      <c r="G193" s="54">
        <f>C193+D193</f>
        <v>180</v>
      </c>
      <c r="K193" t="s">
        <v>1216</v>
      </c>
      <c r="L193">
        <v>5.5</v>
      </c>
      <c r="M193" s="4">
        <f>L193*7.5</f>
        <v>41.25</v>
      </c>
      <c r="N193" s="4">
        <v>82</v>
      </c>
      <c r="O193">
        <v>8</v>
      </c>
      <c r="P193" s="4">
        <f>(M193+N193)/L193</f>
        <v>22.40909090909091</v>
      </c>
      <c r="Q193" s="4">
        <f>M193+N193</f>
        <v>123.25</v>
      </c>
    </row>
    <row r="194" spans="1:19" ht="15" thickBot="1" x14ac:dyDescent="0.4">
      <c r="A194" s="31" t="s">
        <v>750</v>
      </c>
      <c r="K194" t="s">
        <v>1217</v>
      </c>
      <c r="L194">
        <v>6</v>
      </c>
      <c r="M194" s="4">
        <f>L194*7.5</f>
        <v>45</v>
      </c>
      <c r="N194" s="4">
        <v>108</v>
      </c>
      <c r="O194">
        <v>20</v>
      </c>
      <c r="P194" s="4">
        <f>(M194+N194)/L194</f>
        <v>25.5</v>
      </c>
      <c r="Q194" s="4">
        <f>M194+N194</f>
        <v>153</v>
      </c>
    </row>
    <row r="195" spans="1:19" x14ac:dyDescent="0.35">
      <c r="A195" t="s">
        <v>751</v>
      </c>
      <c r="B195">
        <v>6</v>
      </c>
      <c r="C195" s="4">
        <f>B195*10</f>
        <v>60</v>
      </c>
      <c r="D195" s="4">
        <v>46</v>
      </c>
      <c r="F195" s="4">
        <f>(C195+D195)/B195</f>
        <v>17.666666666666668</v>
      </c>
      <c r="G195" s="4">
        <f>C195+D195</f>
        <v>106</v>
      </c>
      <c r="L195" s="63">
        <f>SUM(L191:L194)</f>
        <v>26.5</v>
      </c>
      <c r="M195" s="55">
        <f>SUM(M191:M194)</f>
        <v>250.5</v>
      </c>
      <c r="N195" s="55">
        <f>SUM(N191:N194)</f>
        <v>392</v>
      </c>
      <c r="O195" s="55">
        <f>SUM(O191:O194)</f>
        <v>52</v>
      </c>
      <c r="P195" s="55">
        <f>(M195+N195+O195)/L195</f>
        <v>26.20754716981132</v>
      </c>
      <c r="Q195" s="54">
        <f>M195+N195</f>
        <v>642.5</v>
      </c>
    </row>
    <row r="196" spans="1:19" x14ac:dyDescent="0.35">
      <c r="A196" t="s">
        <v>752</v>
      </c>
      <c r="B196">
        <v>8.5</v>
      </c>
      <c r="C196" s="4">
        <f>B196*10</f>
        <v>85</v>
      </c>
      <c r="D196" s="4">
        <v>135</v>
      </c>
      <c r="F196" s="4">
        <f>(C196+D196)/B196</f>
        <v>25.882352941176471</v>
      </c>
      <c r="G196" s="4">
        <f>C196+D196</f>
        <v>220</v>
      </c>
      <c r="K196" s="31" t="s">
        <v>1233</v>
      </c>
    </row>
    <row r="197" spans="1:19" ht="15" thickBot="1" x14ac:dyDescent="0.4">
      <c r="A197" t="s">
        <v>753</v>
      </c>
      <c r="B197">
        <v>5</v>
      </c>
      <c r="C197" s="4">
        <f>B197*15</f>
        <v>75</v>
      </c>
      <c r="F197" s="4">
        <f>(C197+D197)/B197</f>
        <v>15</v>
      </c>
      <c r="G197" s="4">
        <f>C197+D197</f>
        <v>75</v>
      </c>
      <c r="K197" t="s">
        <v>1219</v>
      </c>
      <c r="L197">
        <v>8.5</v>
      </c>
      <c r="M197" s="4">
        <f>L197*7.25</f>
        <v>61.625</v>
      </c>
      <c r="N197" s="4">
        <v>119</v>
      </c>
      <c r="P197" s="4">
        <f>(M197+N197)/L197</f>
        <v>21.25</v>
      </c>
      <c r="Q197" s="4">
        <f>M197+N197</f>
        <v>180.625</v>
      </c>
    </row>
    <row r="198" spans="1:19" x14ac:dyDescent="0.35">
      <c r="B198" s="63">
        <f>SUM(B195:B197)</f>
        <v>19.5</v>
      </c>
      <c r="C198" s="55">
        <f>SUM(C195:C197)</f>
        <v>220</v>
      </c>
      <c r="D198" s="55">
        <f>SUM(D195:D197)</f>
        <v>181</v>
      </c>
      <c r="E198" s="55">
        <f>SUM(E195:E197)</f>
        <v>0</v>
      </c>
      <c r="F198" s="54">
        <f>(C198+D198)/B198</f>
        <v>20.564102564102566</v>
      </c>
      <c r="G198" s="54">
        <f>C198+D198</f>
        <v>401</v>
      </c>
      <c r="K198" t="s">
        <v>1220</v>
      </c>
      <c r="L198">
        <v>7</v>
      </c>
      <c r="M198" s="4">
        <f>L198*7.25</f>
        <v>50.75</v>
      </c>
      <c r="N198" s="4">
        <v>94</v>
      </c>
      <c r="O198">
        <v>35</v>
      </c>
      <c r="P198" s="4">
        <f>(M198+N198)/L198</f>
        <v>20.678571428571427</v>
      </c>
      <c r="Q198" s="4">
        <f>M198+N198</f>
        <v>144.75</v>
      </c>
    </row>
    <row r="199" spans="1:19" x14ac:dyDescent="0.35">
      <c r="A199" s="31" t="s">
        <v>754</v>
      </c>
      <c r="H199" t="s">
        <v>755</v>
      </c>
      <c r="K199" t="s">
        <v>1221</v>
      </c>
      <c r="L199">
        <v>6.5</v>
      </c>
      <c r="M199" s="4">
        <f>L199*16.5</f>
        <v>107.25</v>
      </c>
      <c r="N199" s="4"/>
      <c r="P199" s="4">
        <f>(M199+N199)/L199</f>
        <v>16.5</v>
      </c>
      <c r="Q199" s="4">
        <f>M199+N199</f>
        <v>107.25</v>
      </c>
    </row>
    <row r="200" spans="1:19" ht="15" thickBot="1" x14ac:dyDescent="0.4">
      <c r="A200" t="s">
        <v>756</v>
      </c>
      <c r="B200">
        <v>6</v>
      </c>
      <c r="C200" s="4">
        <f>B200*10</f>
        <v>60</v>
      </c>
      <c r="D200" s="4">
        <v>60</v>
      </c>
      <c r="F200" s="4">
        <f>(C200+D200)/B200</f>
        <v>20</v>
      </c>
      <c r="G200" s="4">
        <f>C200+D200</f>
        <v>120</v>
      </c>
      <c r="H200" t="s">
        <v>757</v>
      </c>
      <c r="K200" t="s">
        <v>1222</v>
      </c>
      <c r="L200">
        <v>8.5</v>
      </c>
      <c r="M200" s="4">
        <f>L200*7.5</f>
        <v>63.75</v>
      </c>
      <c r="N200" s="4">
        <v>183</v>
      </c>
      <c r="O200">
        <v>31</v>
      </c>
      <c r="P200" s="4">
        <f>(M200+N200)/L200</f>
        <v>29.029411764705884</v>
      </c>
      <c r="Q200" s="4">
        <f>M200+N200</f>
        <v>246.75</v>
      </c>
    </row>
    <row r="201" spans="1:19" ht="15" thickBot="1" x14ac:dyDescent="0.4">
      <c r="A201" t="s">
        <v>758</v>
      </c>
      <c r="B201">
        <v>5</v>
      </c>
      <c r="C201" s="4">
        <f>B201*15</f>
        <v>75</v>
      </c>
      <c r="F201" s="4">
        <f>(C201+D201)/B201</f>
        <v>15</v>
      </c>
      <c r="G201" s="4">
        <f>C201+D201</f>
        <v>75</v>
      </c>
      <c r="L201" s="63">
        <f>SUM(L197:L200)</f>
        <v>30.5</v>
      </c>
      <c r="M201" s="55">
        <f>SUM(M197:M200)</f>
        <v>283.375</v>
      </c>
      <c r="N201" s="55">
        <f>SUM(N197:N200)</f>
        <v>396</v>
      </c>
      <c r="O201" s="55">
        <f>SUM(O197:O200)</f>
        <v>66</v>
      </c>
      <c r="P201" s="55">
        <f>(M201+N201+O201)/L201</f>
        <v>24.438524590163933</v>
      </c>
      <c r="Q201" s="54">
        <f>M201+N201</f>
        <v>679.375</v>
      </c>
    </row>
    <row r="202" spans="1:19" x14ac:dyDescent="0.35">
      <c r="B202" s="63">
        <f>SUM(B200:B201)</f>
        <v>11</v>
      </c>
      <c r="C202" s="55">
        <f>SUM(C200:C201)</f>
        <v>135</v>
      </c>
      <c r="D202" s="55">
        <f>SUM(D200:D201)</f>
        <v>60</v>
      </c>
      <c r="E202" s="55">
        <f>SUM(E200:E201)</f>
        <v>0</v>
      </c>
      <c r="F202" s="54">
        <f>(C202+D202)/B202</f>
        <v>17.727272727272727</v>
      </c>
      <c r="G202" s="54">
        <f>C202+D202</f>
        <v>195</v>
      </c>
      <c r="K202" s="31"/>
      <c r="L202" s="31"/>
      <c r="M202" s="13"/>
      <c r="N202" s="13"/>
      <c r="O202" s="13"/>
      <c r="P202" s="13"/>
      <c r="Q202" s="13"/>
    </row>
    <row r="203" spans="1:19" x14ac:dyDescent="0.35">
      <c r="A203" s="31" t="s">
        <v>759</v>
      </c>
      <c r="K203" s="31" t="s">
        <v>325</v>
      </c>
      <c r="L203" s="31">
        <f>L177+L184+L189+L195+L201</f>
        <v>145</v>
      </c>
      <c r="M203" s="13">
        <f>M177+M184+M189+M195+M201</f>
        <v>1574.25</v>
      </c>
      <c r="N203" s="13">
        <f>N177+N184+N189+N195+N201</f>
        <v>1549</v>
      </c>
      <c r="O203" s="13">
        <f>O177+O184+O189+O195+O201</f>
        <v>199</v>
      </c>
      <c r="P203" s="13">
        <f>(M203+N203+O203)/L203</f>
        <v>22.912068965517243</v>
      </c>
      <c r="Q203" s="13">
        <f>M203+N203+O203</f>
        <v>3322.25</v>
      </c>
    </row>
    <row r="204" spans="1:19" x14ac:dyDescent="0.35">
      <c r="A204" t="s">
        <v>760</v>
      </c>
      <c r="B204">
        <v>5</v>
      </c>
      <c r="C204" s="4">
        <f>B204*15</f>
        <v>75</v>
      </c>
      <c r="F204" s="4">
        <f>(C204+D204)/B204</f>
        <v>15</v>
      </c>
      <c r="G204" s="4">
        <f>C204+D204</f>
        <v>75</v>
      </c>
      <c r="K204" s="31"/>
      <c r="L204" s="31"/>
      <c r="M204" s="13"/>
      <c r="N204" s="13"/>
      <c r="O204" s="13"/>
      <c r="P204" s="13"/>
      <c r="Q204" s="13"/>
    </row>
    <row r="205" spans="1:19" x14ac:dyDescent="0.35">
      <c r="A205" t="s">
        <v>761</v>
      </c>
      <c r="B205">
        <v>6.5</v>
      </c>
      <c r="C205" s="4">
        <f>B205*10</f>
        <v>65</v>
      </c>
      <c r="D205" s="4">
        <v>46</v>
      </c>
      <c r="F205" s="4">
        <f>(C205+D205)/B205</f>
        <v>17.076923076923077</v>
      </c>
      <c r="G205" s="4">
        <f>C205+D205</f>
        <v>111</v>
      </c>
      <c r="K205" s="31"/>
      <c r="L205" s="31"/>
      <c r="M205" s="13"/>
      <c r="N205" s="13"/>
      <c r="O205" s="13"/>
      <c r="P205" s="13"/>
      <c r="Q205" s="13"/>
    </row>
    <row r="206" spans="1:19" x14ac:dyDescent="0.35">
      <c r="A206" t="s">
        <v>762</v>
      </c>
      <c r="B206">
        <v>7.5</v>
      </c>
      <c r="C206" s="4">
        <f>B206*15</f>
        <v>112.5</v>
      </c>
      <c r="F206" s="4">
        <f>(C206+D206)/B206</f>
        <v>15</v>
      </c>
      <c r="G206" s="4">
        <f>C206+D206</f>
        <v>112.5</v>
      </c>
      <c r="K206" s="31" t="s">
        <v>1223</v>
      </c>
    </row>
    <row r="207" spans="1:19" ht="15" thickBot="1" x14ac:dyDescent="0.4">
      <c r="A207" t="s">
        <v>763</v>
      </c>
      <c r="B207">
        <v>5</v>
      </c>
      <c r="C207" s="4">
        <f>B207*15</f>
        <v>75</v>
      </c>
      <c r="F207" s="4">
        <f>(C207+D207)/B207</f>
        <v>15</v>
      </c>
      <c r="G207" s="4">
        <f>C207+D207</f>
        <v>75</v>
      </c>
      <c r="K207" s="61" t="s">
        <v>598</v>
      </c>
      <c r="L207" s="62" t="s">
        <v>593</v>
      </c>
      <c r="M207" s="62" t="s">
        <v>594</v>
      </c>
      <c r="N207" s="62" t="s">
        <v>599</v>
      </c>
      <c r="O207" s="62" t="s">
        <v>600</v>
      </c>
      <c r="P207" s="62" t="s">
        <v>601</v>
      </c>
      <c r="Q207" s="62" t="s">
        <v>325</v>
      </c>
      <c r="R207" s="62" t="s">
        <v>343</v>
      </c>
      <c r="S207" s="150"/>
    </row>
    <row r="208" spans="1:19" x14ac:dyDescent="0.35">
      <c r="B208" s="63">
        <f>SUM(B204:B207)</f>
        <v>24</v>
      </c>
      <c r="C208" s="55">
        <f>SUM(C204:C207)</f>
        <v>327.5</v>
      </c>
      <c r="D208" s="55">
        <f>SUM(D204:D207)</f>
        <v>46</v>
      </c>
      <c r="E208" s="55">
        <f>SUM(E204:E207)</f>
        <v>0</v>
      </c>
      <c r="F208" s="54">
        <f>(C208+D208)/B208</f>
        <v>15.5625</v>
      </c>
      <c r="G208" s="54">
        <f>C208+D208</f>
        <v>373.5</v>
      </c>
      <c r="K208" s="31" t="s">
        <v>1245</v>
      </c>
      <c r="L208" s="150"/>
      <c r="M208" s="150"/>
      <c r="N208" s="150"/>
      <c r="O208" s="150"/>
      <c r="P208" s="150"/>
      <c r="Q208" s="150"/>
      <c r="R208" s="150"/>
      <c r="S208" s="150"/>
    </row>
    <row r="209" spans="1:21" x14ac:dyDescent="0.35">
      <c r="K209" t="s">
        <v>1058</v>
      </c>
      <c r="L209">
        <v>1</v>
      </c>
      <c r="M209" s="4">
        <f>L209*10</f>
        <v>10</v>
      </c>
      <c r="N209" s="48">
        <v>0</v>
      </c>
      <c r="O209" s="48"/>
      <c r="P209" s="4">
        <f>(M209+N209)/L209</f>
        <v>10</v>
      </c>
      <c r="Q209" s="4">
        <f>M209+N209</f>
        <v>10</v>
      </c>
      <c r="R209" s="149"/>
      <c r="S209" s="149"/>
    </row>
    <row r="210" spans="1:21" x14ac:dyDescent="0.35">
      <c r="A210" s="31" t="s">
        <v>325</v>
      </c>
      <c r="B210" s="31">
        <f>B193+B198+B202+B208</f>
        <v>66.5</v>
      </c>
      <c r="C210" s="13">
        <f>C193+C198+C202+C208</f>
        <v>862.5</v>
      </c>
      <c r="D210" s="13">
        <f>D193+D198+D202+D208</f>
        <v>287</v>
      </c>
      <c r="E210" s="13">
        <f>E193+E198+E202+E208</f>
        <v>0</v>
      </c>
      <c r="F210" s="13">
        <f>(C210+D210+E210)/B210</f>
        <v>17.285714285714285</v>
      </c>
      <c r="G210" s="13">
        <f>C210+D210+E210</f>
        <v>1149.5</v>
      </c>
      <c r="K210" s="31" t="s">
        <v>1252</v>
      </c>
    </row>
    <row r="211" spans="1:21" x14ac:dyDescent="0.35">
      <c r="K211" t="s">
        <v>1225</v>
      </c>
      <c r="L211">
        <v>7</v>
      </c>
      <c r="M211" s="4">
        <f>L211*7.25</f>
        <v>50.75</v>
      </c>
      <c r="N211" s="4">
        <v>94</v>
      </c>
      <c r="O211">
        <v>25</v>
      </c>
      <c r="P211" s="4">
        <f>(M211+N211)/L211</f>
        <v>20.678571428571427</v>
      </c>
      <c r="Q211" s="4">
        <f>M211+N211</f>
        <v>144.75</v>
      </c>
    </row>
    <row r="212" spans="1:21" x14ac:dyDescent="0.35">
      <c r="K212" t="s">
        <v>1226</v>
      </c>
      <c r="L212">
        <v>8</v>
      </c>
      <c r="M212" s="4">
        <f>L212*7.25</f>
        <v>58</v>
      </c>
      <c r="N212" s="4">
        <v>95</v>
      </c>
      <c r="O212">
        <v>40</v>
      </c>
      <c r="P212" s="4">
        <f>(M212+N212)/L212</f>
        <v>19.125</v>
      </c>
      <c r="Q212" s="4">
        <f>M212+N212</f>
        <v>153</v>
      </c>
    </row>
    <row r="213" spans="1:21" ht="15" thickBot="1" x14ac:dyDescent="0.4">
      <c r="A213" s="31" t="s">
        <v>892</v>
      </c>
      <c r="C213" t="s">
        <v>596</v>
      </c>
      <c r="E213" t="s">
        <v>582</v>
      </c>
      <c r="K213" t="s">
        <v>1227</v>
      </c>
      <c r="L213">
        <v>7.5</v>
      </c>
      <c r="M213" s="4">
        <f>L213*16.5</f>
        <v>123.75</v>
      </c>
      <c r="N213" s="4"/>
      <c r="P213" s="4">
        <f>(M213+N213)/L213</f>
        <v>16.5</v>
      </c>
      <c r="Q213" s="4">
        <f>M213+N213</f>
        <v>123.75</v>
      </c>
    </row>
    <row r="214" spans="1:21" x14ac:dyDescent="0.35">
      <c r="A214" s="61" t="s">
        <v>598</v>
      </c>
      <c r="B214" s="62" t="s">
        <v>593</v>
      </c>
      <c r="C214" s="62" t="s">
        <v>594</v>
      </c>
      <c r="D214" s="62" t="s">
        <v>599</v>
      </c>
      <c r="E214" s="62" t="s">
        <v>600</v>
      </c>
      <c r="F214" s="62" t="s">
        <v>601</v>
      </c>
      <c r="G214" s="62" t="s">
        <v>325</v>
      </c>
      <c r="H214" s="62" t="s">
        <v>343</v>
      </c>
      <c r="L214" s="63">
        <f>SUM(L211:L213)</f>
        <v>22.5</v>
      </c>
      <c r="M214" s="55">
        <f>SUM(M211:M213)</f>
        <v>232.5</v>
      </c>
      <c r="N214" s="55">
        <f>SUM(N211:N213)</f>
        <v>189</v>
      </c>
      <c r="O214" s="55">
        <f>SUM(O211:O213)</f>
        <v>65</v>
      </c>
      <c r="P214" s="55">
        <f>(M214+N214+O214)/L214</f>
        <v>21.622222222222224</v>
      </c>
      <c r="Q214" s="54">
        <f>M214+N214</f>
        <v>421.5</v>
      </c>
    </row>
    <row r="215" spans="1:21" x14ac:dyDescent="0.35">
      <c r="A215" s="31" t="s">
        <v>764</v>
      </c>
      <c r="H215" t="s">
        <v>765</v>
      </c>
      <c r="K215" s="31" t="s">
        <v>1253</v>
      </c>
    </row>
    <row r="216" spans="1:21" x14ac:dyDescent="0.35">
      <c r="A216" t="s">
        <v>766</v>
      </c>
      <c r="B216">
        <v>6</v>
      </c>
      <c r="C216" s="4">
        <f>B216*10</f>
        <v>60</v>
      </c>
      <c r="D216" s="4">
        <v>36</v>
      </c>
      <c r="F216" s="4">
        <f>(C216+D216)/B216</f>
        <v>16</v>
      </c>
      <c r="G216" s="4">
        <f>C216+D216</f>
        <v>96</v>
      </c>
      <c r="K216" t="s">
        <v>1234</v>
      </c>
      <c r="L216">
        <v>6</v>
      </c>
      <c r="M216" s="4">
        <f>L216*10</f>
        <v>60</v>
      </c>
      <c r="N216" s="4">
        <v>66</v>
      </c>
      <c r="O216">
        <v>30</v>
      </c>
      <c r="P216" s="4">
        <f>(M216+N216)/L216</f>
        <v>21</v>
      </c>
      <c r="Q216" s="4">
        <f>M216+N216</f>
        <v>126</v>
      </c>
      <c r="R216" t="s">
        <v>1246</v>
      </c>
    </row>
    <row r="217" spans="1:21" ht="15" thickBot="1" x14ac:dyDescent="0.4">
      <c r="A217" t="s">
        <v>767</v>
      </c>
      <c r="B217">
        <v>9</v>
      </c>
      <c r="C217" s="4">
        <f>B217*10</f>
        <v>90</v>
      </c>
      <c r="D217" s="4">
        <v>110</v>
      </c>
      <c r="F217" s="4">
        <f>(C217+D217)/B217</f>
        <v>22.222222222222221</v>
      </c>
      <c r="G217" s="4">
        <f>C217+D217</f>
        <v>200</v>
      </c>
      <c r="K217" t="s">
        <v>1235</v>
      </c>
      <c r="L217">
        <v>9.5</v>
      </c>
      <c r="M217" s="4">
        <f>L217*7.25</f>
        <v>68.875</v>
      </c>
      <c r="N217" s="4">
        <v>160</v>
      </c>
      <c r="O217">
        <v>0</v>
      </c>
      <c r="P217" s="4">
        <f>(M217+N217)/L217</f>
        <v>24.092105263157894</v>
      </c>
      <c r="Q217" s="4">
        <f>M217+N217</f>
        <v>228.875</v>
      </c>
    </row>
    <row r="218" spans="1:21" ht="15" thickBot="1" x14ac:dyDescent="0.4">
      <c r="A218" t="s">
        <v>768</v>
      </c>
      <c r="B218">
        <v>4</v>
      </c>
      <c r="C218" s="4">
        <f>B218*15</f>
        <v>60</v>
      </c>
      <c r="E218">
        <v>234</v>
      </c>
      <c r="F218" s="4">
        <f>(C218+D218)/B218</f>
        <v>15</v>
      </c>
      <c r="G218" s="4">
        <f>C218+D218</f>
        <v>60</v>
      </c>
      <c r="L218" s="63">
        <f>SUM(L216:L217)</f>
        <v>15.5</v>
      </c>
      <c r="M218" s="55">
        <f>SUM(M216:M217)</f>
        <v>128.875</v>
      </c>
      <c r="N218" s="55">
        <f>SUM(N216:N217)</f>
        <v>226</v>
      </c>
      <c r="O218" s="55">
        <f>SUM(O216:O217)</f>
        <v>30</v>
      </c>
      <c r="P218" s="55">
        <f>(M218+N218+O218)/L218</f>
        <v>24.830645161290324</v>
      </c>
      <c r="Q218" s="54">
        <f>M218+N218</f>
        <v>354.875</v>
      </c>
      <c r="T218" s="150"/>
      <c r="U218" s="150"/>
    </row>
    <row r="219" spans="1:21" x14ac:dyDescent="0.35">
      <c r="B219" s="63">
        <f>SUM(B216:B218)</f>
        <v>19</v>
      </c>
      <c r="C219" s="55">
        <f>SUM(C216:C218)</f>
        <v>210</v>
      </c>
      <c r="D219" s="55">
        <f>SUM(D216:D218)</f>
        <v>146</v>
      </c>
      <c r="E219" s="55">
        <f>SUM(E216:E218)</f>
        <v>234</v>
      </c>
      <c r="F219" s="54">
        <f>(C219+D219)/B219</f>
        <v>18.736842105263158</v>
      </c>
      <c r="G219" s="54">
        <f>C219+D219</f>
        <v>356</v>
      </c>
      <c r="K219" s="31" t="s">
        <v>1254</v>
      </c>
    </row>
    <row r="220" spans="1:21" x14ac:dyDescent="0.35">
      <c r="A220" s="31" t="s">
        <v>769</v>
      </c>
      <c r="K220" t="s">
        <v>1249</v>
      </c>
      <c r="L220">
        <v>8</v>
      </c>
      <c r="M220" s="4">
        <f>L220*7.25</f>
        <v>58</v>
      </c>
      <c r="N220" s="4">
        <v>260</v>
      </c>
      <c r="O220">
        <v>92</v>
      </c>
      <c r="P220" s="4">
        <f>(M220+N220)/L220</f>
        <v>39.75</v>
      </c>
      <c r="Q220" s="4">
        <f>M220+N220</f>
        <v>318</v>
      </c>
      <c r="R220" t="s">
        <v>1242</v>
      </c>
    </row>
    <row r="221" spans="1:21" ht="15" thickBot="1" x14ac:dyDescent="0.4">
      <c r="A221" t="s">
        <v>770</v>
      </c>
      <c r="B221">
        <v>9</v>
      </c>
      <c r="C221" s="4">
        <f>B221*10</f>
        <v>90</v>
      </c>
      <c r="D221" s="4">
        <v>97</v>
      </c>
      <c r="F221" s="4">
        <f>(C221+D221)/B221</f>
        <v>20.777777777777779</v>
      </c>
      <c r="G221" s="4">
        <f>C221+D221</f>
        <v>187</v>
      </c>
      <c r="K221" t="s">
        <v>1250</v>
      </c>
      <c r="L221">
        <v>6.5</v>
      </c>
      <c r="M221" s="4">
        <f>L221*10</f>
        <v>65</v>
      </c>
      <c r="N221" s="4">
        <v>73</v>
      </c>
      <c r="P221" s="4">
        <f>(M221+N221)/L221</f>
        <v>21.23076923076923</v>
      </c>
      <c r="Q221" s="4">
        <f>M221+N221</f>
        <v>138</v>
      </c>
      <c r="R221" t="s">
        <v>1247</v>
      </c>
    </row>
    <row r="222" spans="1:21" ht="15" thickBot="1" x14ac:dyDescent="0.4">
      <c r="B222" s="63">
        <f>SUM(B221)</f>
        <v>9</v>
      </c>
      <c r="C222" s="55">
        <f>SUM(C221)</f>
        <v>90</v>
      </c>
      <c r="D222" s="55">
        <f>SUM(D221)</f>
        <v>97</v>
      </c>
      <c r="E222" s="55">
        <f>SUM(E221)</f>
        <v>0</v>
      </c>
      <c r="F222" s="54">
        <f>(C222+D222)/B222</f>
        <v>20.777777777777779</v>
      </c>
      <c r="G222" s="54">
        <f>C222+D222</f>
        <v>187</v>
      </c>
      <c r="K222" t="s">
        <v>1251</v>
      </c>
      <c r="L222">
        <v>6.5</v>
      </c>
      <c r="M222" s="4">
        <f>L222*16.5</f>
        <v>107.25</v>
      </c>
      <c r="N222" s="4"/>
      <c r="P222" s="4">
        <f>(M222+N222)/L222</f>
        <v>16.5</v>
      </c>
      <c r="Q222" s="4">
        <f>M222+N222</f>
        <v>107.25</v>
      </c>
    </row>
    <row r="223" spans="1:21" x14ac:dyDescent="0.35">
      <c r="A223" s="31" t="s">
        <v>771</v>
      </c>
      <c r="H223" t="s">
        <v>772</v>
      </c>
      <c r="L223" s="63">
        <f>SUM(L220:L222)</f>
        <v>21</v>
      </c>
      <c r="M223" s="55">
        <f>SUM(M220:M222)</f>
        <v>230.25</v>
      </c>
      <c r="N223" s="55">
        <f>SUM(N220:N222)</f>
        <v>333</v>
      </c>
      <c r="O223" s="55">
        <f>SUM(O220:O222)</f>
        <v>92</v>
      </c>
      <c r="P223" s="55">
        <f>(M223+N223+O223)/L223</f>
        <v>31.202380952380953</v>
      </c>
      <c r="Q223" s="54">
        <f>M223+N223</f>
        <v>563.25</v>
      </c>
    </row>
    <row r="224" spans="1:21" ht="15" thickBot="1" x14ac:dyDescent="0.4">
      <c r="A224" t="s">
        <v>773</v>
      </c>
      <c r="B224">
        <v>9</v>
      </c>
      <c r="C224" s="4">
        <f>B224*10</f>
        <v>90</v>
      </c>
      <c r="D224" s="4">
        <v>120</v>
      </c>
      <c r="F224" s="4">
        <f>(C224+D224)/B224</f>
        <v>23.333333333333332</v>
      </c>
      <c r="G224" s="4">
        <f>C224+D224</f>
        <v>210</v>
      </c>
      <c r="M224" s="48"/>
      <c r="N224" s="48"/>
      <c r="O224" s="48"/>
      <c r="P224" s="48"/>
      <c r="Q224" s="4"/>
    </row>
    <row r="225" spans="1:19" x14ac:dyDescent="0.35">
      <c r="B225" s="63">
        <f>SUM(B224)</f>
        <v>9</v>
      </c>
      <c r="C225" s="55">
        <f>SUM(C224)</f>
        <v>90</v>
      </c>
      <c r="D225" s="55">
        <f>SUM(D224)</f>
        <v>120</v>
      </c>
      <c r="E225" s="55">
        <f>SUM(E224)</f>
        <v>0</v>
      </c>
      <c r="F225" s="54">
        <f>(C225+D225)/B225</f>
        <v>23.333333333333332</v>
      </c>
      <c r="G225" s="54">
        <f>C225+D225</f>
        <v>210</v>
      </c>
      <c r="K225" s="31" t="s">
        <v>325</v>
      </c>
      <c r="L225" s="31">
        <f>L214+L218+L223</f>
        <v>59</v>
      </c>
      <c r="M225" s="13">
        <f>M214+M218+M223</f>
        <v>591.625</v>
      </c>
      <c r="N225" s="13">
        <f>N214+N218+N223</f>
        <v>748</v>
      </c>
      <c r="O225" s="13">
        <f>O214+O218+O223</f>
        <v>187</v>
      </c>
      <c r="P225" s="13">
        <f>(M225+N225+O225)/L225</f>
        <v>25.875</v>
      </c>
      <c r="Q225" s="13">
        <f>M225+N225+O225</f>
        <v>1526.625</v>
      </c>
    </row>
    <row r="226" spans="1:19" x14ac:dyDescent="0.35">
      <c r="A226" s="31" t="s">
        <v>774</v>
      </c>
      <c r="K226" s="31"/>
      <c r="L226" s="31"/>
      <c r="M226" s="13"/>
      <c r="N226" s="13"/>
      <c r="O226" s="13"/>
      <c r="P226" s="13"/>
      <c r="Q226" s="13"/>
    </row>
    <row r="227" spans="1:19" ht="15" thickBot="1" x14ac:dyDescent="0.4">
      <c r="A227" t="s">
        <v>775</v>
      </c>
      <c r="B227">
        <v>1</v>
      </c>
      <c r="C227" s="4">
        <f>B227*10</f>
        <v>10</v>
      </c>
      <c r="D227" s="4">
        <v>0</v>
      </c>
      <c r="F227" s="4">
        <f>(C227+D227)/B227</f>
        <v>10</v>
      </c>
      <c r="G227" s="4">
        <f>C227+D227</f>
        <v>10</v>
      </c>
      <c r="K227" s="31"/>
      <c r="L227" s="31"/>
      <c r="M227" s="13"/>
      <c r="N227" s="13"/>
      <c r="O227" s="13"/>
      <c r="P227" s="13"/>
      <c r="Q227" s="13"/>
    </row>
    <row r="228" spans="1:19" x14ac:dyDescent="0.35">
      <c r="B228" s="63">
        <f>SUM(B227)</f>
        <v>1</v>
      </c>
      <c r="C228" s="55">
        <f>SUM(C227)</f>
        <v>10</v>
      </c>
      <c r="D228" s="55">
        <f>SUM(D227)</f>
        <v>0</v>
      </c>
      <c r="E228" s="55">
        <f>SUM(E227)</f>
        <v>0</v>
      </c>
      <c r="F228" s="54">
        <f>(C228+D228)/B228</f>
        <v>10</v>
      </c>
      <c r="G228" s="54">
        <f>C228+D228</f>
        <v>10</v>
      </c>
      <c r="K228" s="31" t="s">
        <v>1248</v>
      </c>
    </row>
    <row r="229" spans="1:19" x14ac:dyDescent="0.35">
      <c r="A229" s="31" t="s">
        <v>776</v>
      </c>
      <c r="K229" s="61" t="s">
        <v>598</v>
      </c>
      <c r="L229" s="62" t="s">
        <v>593</v>
      </c>
      <c r="M229" s="62" t="s">
        <v>594</v>
      </c>
      <c r="N229" s="62" t="s">
        <v>599</v>
      </c>
      <c r="O229" s="62" t="s">
        <v>600</v>
      </c>
      <c r="P229" s="62" t="s">
        <v>601</v>
      </c>
      <c r="Q229" s="62" t="s">
        <v>325</v>
      </c>
      <c r="R229" s="62" t="s">
        <v>343</v>
      </c>
      <c r="S229" s="150"/>
    </row>
    <row r="230" spans="1:19" ht="15" thickBot="1" x14ac:dyDescent="0.4">
      <c r="A230" t="s">
        <v>777</v>
      </c>
      <c r="B230">
        <v>6</v>
      </c>
      <c r="C230" s="4">
        <f>B230*15</f>
        <v>90</v>
      </c>
      <c r="D230" s="4">
        <v>0</v>
      </c>
      <c r="F230" s="4">
        <f>(C230+D230)/B230</f>
        <v>15</v>
      </c>
      <c r="G230" s="4">
        <f>C230+D230</f>
        <v>90</v>
      </c>
      <c r="H230" t="s">
        <v>918</v>
      </c>
      <c r="K230" s="31" t="s">
        <v>1258</v>
      </c>
    </row>
    <row r="231" spans="1:19" x14ac:dyDescent="0.35">
      <c r="B231" s="63">
        <f>SUM(B230)</f>
        <v>6</v>
      </c>
      <c r="C231" s="55">
        <f>SUM(C230)</f>
        <v>90</v>
      </c>
      <c r="D231" s="55">
        <f>SUM(D230)</f>
        <v>0</v>
      </c>
      <c r="E231" s="55">
        <f>SUM(E230)</f>
        <v>0</v>
      </c>
      <c r="F231" s="54">
        <f>(C231+D231)/B231</f>
        <v>15</v>
      </c>
      <c r="G231" s="54">
        <f>C231+D231</f>
        <v>90</v>
      </c>
      <c r="K231" t="s">
        <v>1262</v>
      </c>
      <c r="L231">
        <v>7</v>
      </c>
      <c r="M231" s="4">
        <f>L231*7.25</f>
        <v>50.75</v>
      </c>
      <c r="N231" s="4">
        <v>82</v>
      </c>
      <c r="O231">
        <v>18</v>
      </c>
      <c r="P231" s="4">
        <f>(M231+N231)/L231</f>
        <v>18.964285714285715</v>
      </c>
      <c r="Q231" s="4">
        <f>M231+N231</f>
        <v>132.75</v>
      </c>
    </row>
    <row r="232" spans="1:19" x14ac:dyDescent="0.35">
      <c r="K232" t="s">
        <v>1263</v>
      </c>
      <c r="L232">
        <v>7</v>
      </c>
      <c r="M232" s="4">
        <f>L232*7.25</f>
        <v>50.75</v>
      </c>
      <c r="N232" s="4">
        <v>63</v>
      </c>
      <c r="P232" s="4">
        <f>(M232+N232)/L232</f>
        <v>16.25</v>
      </c>
      <c r="Q232" s="4">
        <f>M232+N232</f>
        <v>113.75</v>
      </c>
    </row>
    <row r="233" spans="1:19" x14ac:dyDescent="0.35">
      <c r="A233" s="31" t="s">
        <v>325</v>
      </c>
      <c r="B233" s="31">
        <f>B219+B222+B225+B228+B231</f>
        <v>44</v>
      </c>
      <c r="C233" s="11">
        <f>C219+C222+C225+C228+C231</f>
        <v>490</v>
      </c>
      <c r="D233" s="11">
        <f>D219+D222+D225+D228+D231</f>
        <v>363</v>
      </c>
      <c r="E233" s="11">
        <f>E219+E222+E225+E228+E231</f>
        <v>234</v>
      </c>
      <c r="F233" s="13">
        <f>(C233+D233+E233)/B233</f>
        <v>24.704545454545453</v>
      </c>
      <c r="G233" s="13">
        <f>C233+D233+E233</f>
        <v>1087</v>
      </c>
      <c r="K233" t="s">
        <v>1264</v>
      </c>
      <c r="L233">
        <v>7</v>
      </c>
      <c r="M233" s="4">
        <f>L233*16.5</f>
        <v>115.5</v>
      </c>
      <c r="N233" s="4"/>
      <c r="P233" s="4">
        <f>(M233+N233)/L233</f>
        <v>16.5</v>
      </c>
      <c r="Q233" s="4">
        <f>M233+N233</f>
        <v>115.5</v>
      </c>
    </row>
    <row r="234" spans="1:19" ht="15" thickBot="1" x14ac:dyDescent="0.4">
      <c r="K234" t="s">
        <v>1265</v>
      </c>
      <c r="L234">
        <v>8</v>
      </c>
      <c r="M234" s="4">
        <f>L234*7.25</f>
        <v>58</v>
      </c>
      <c r="N234" s="4">
        <v>121</v>
      </c>
      <c r="O234">
        <v>24</v>
      </c>
      <c r="P234" s="4">
        <f>(M234+N234)/L234</f>
        <v>22.375</v>
      </c>
      <c r="Q234" s="4">
        <f>M234+N234</f>
        <v>179</v>
      </c>
    </row>
    <row r="235" spans="1:19" x14ac:dyDescent="0.35">
      <c r="L235" s="63">
        <f>SUM(L231:L234)</f>
        <v>29</v>
      </c>
      <c r="M235" s="55">
        <f>SUM(M231:M234)</f>
        <v>275</v>
      </c>
      <c r="N235" s="55">
        <f>SUM(N231:N234)</f>
        <v>266</v>
      </c>
      <c r="O235" s="55">
        <f>SUM(O231:O234)</f>
        <v>42</v>
      </c>
      <c r="P235" s="55">
        <f>(M235+N235+O235)/L235</f>
        <v>20.103448275862068</v>
      </c>
      <c r="Q235" s="54">
        <f>M235+N235</f>
        <v>541</v>
      </c>
    </row>
    <row r="236" spans="1:19" x14ac:dyDescent="0.35">
      <c r="A236" s="31" t="s">
        <v>893</v>
      </c>
      <c r="C236" t="s">
        <v>596</v>
      </c>
      <c r="E236" t="s">
        <v>582</v>
      </c>
      <c r="K236" s="31" t="s">
        <v>1259</v>
      </c>
    </row>
    <row r="237" spans="1:19" x14ac:dyDescent="0.35">
      <c r="A237" s="61" t="s">
        <v>598</v>
      </c>
      <c r="B237" s="62" t="s">
        <v>593</v>
      </c>
      <c r="C237" s="62" t="s">
        <v>594</v>
      </c>
      <c r="D237" s="62" t="s">
        <v>599</v>
      </c>
      <c r="E237" s="62" t="s">
        <v>600</v>
      </c>
      <c r="F237" s="62" t="s">
        <v>601</v>
      </c>
      <c r="G237" s="62" t="s">
        <v>325</v>
      </c>
      <c r="H237" s="62" t="s">
        <v>343</v>
      </c>
      <c r="K237" t="s">
        <v>1266</v>
      </c>
      <c r="L237">
        <v>8</v>
      </c>
      <c r="M237" s="4">
        <f>L237*7.25</f>
        <v>58</v>
      </c>
      <c r="N237" s="4">
        <v>84</v>
      </c>
      <c r="O237">
        <v>0</v>
      </c>
      <c r="P237" s="4">
        <f>(M237+N237)/L237</f>
        <v>17.75</v>
      </c>
      <c r="Q237" s="4">
        <f>M237+N237</f>
        <v>142</v>
      </c>
    </row>
    <row r="238" spans="1:19" ht="15" thickBot="1" x14ac:dyDescent="0.4">
      <c r="A238" t="s">
        <v>778</v>
      </c>
      <c r="K238" t="s">
        <v>1267</v>
      </c>
      <c r="L238">
        <v>6</v>
      </c>
      <c r="M238" s="4">
        <f>L238*16.5</f>
        <v>99</v>
      </c>
      <c r="N238" s="4"/>
      <c r="P238" s="4">
        <f>(M238+N238)/L238</f>
        <v>16.5</v>
      </c>
      <c r="Q238" s="4">
        <f>M238+N238</f>
        <v>99</v>
      </c>
    </row>
    <row r="239" spans="1:19" ht="15" thickBot="1" x14ac:dyDescent="0.4">
      <c r="A239" t="s">
        <v>775</v>
      </c>
      <c r="B239">
        <v>1</v>
      </c>
      <c r="C239" s="4">
        <f>B239*10</f>
        <v>10</v>
      </c>
      <c r="D239" s="4">
        <v>0</v>
      </c>
      <c r="F239" s="4">
        <f>(C239+D239)/B239</f>
        <v>10</v>
      </c>
      <c r="G239" s="4">
        <f>C239+D239</f>
        <v>10</v>
      </c>
      <c r="L239" s="63">
        <f>SUM(L237:L238)</f>
        <v>14</v>
      </c>
      <c r="M239" s="55">
        <f>SUM(M237:M238)</f>
        <v>157</v>
      </c>
      <c r="N239" s="55">
        <f>SUM(N237:N238)</f>
        <v>84</v>
      </c>
      <c r="O239" s="55">
        <f>SUM(O237:O238)</f>
        <v>0</v>
      </c>
      <c r="P239" s="55">
        <f>(M239+N239+O239)/L239</f>
        <v>17.214285714285715</v>
      </c>
      <c r="Q239" s="54">
        <f>M239+N239</f>
        <v>241</v>
      </c>
    </row>
    <row r="240" spans="1:19" x14ac:dyDescent="0.35">
      <c r="B240" s="63">
        <f>SUM(B239)</f>
        <v>1</v>
      </c>
      <c r="C240" s="55">
        <f>SUM(C239)</f>
        <v>10</v>
      </c>
      <c r="D240" s="55">
        <f>SUM(D239)</f>
        <v>0</v>
      </c>
      <c r="E240" s="55">
        <f>SUM(E239)</f>
        <v>0</v>
      </c>
      <c r="F240" s="54">
        <f>(C240+D240)/B240</f>
        <v>10</v>
      </c>
      <c r="G240" s="54">
        <f>C240+D240</f>
        <v>10</v>
      </c>
      <c r="K240" s="31" t="s">
        <v>1260</v>
      </c>
    </row>
    <row r="241" spans="1:29" x14ac:dyDescent="0.35">
      <c r="A241" t="s">
        <v>779</v>
      </c>
      <c r="K241" t="s">
        <v>1268</v>
      </c>
      <c r="L241">
        <v>6</v>
      </c>
      <c r="M241" s="4">
        <f>L241*16.5</f>
        <v>99</v>
      </c>
      <c r="N241" s="4"/>
      <c r="P241" s="4">
        <f>(M241+N241)/L241</f>
        <v>16.5</v>
      </c>
      <c r="Q241" s="4">
        <f>M241+N241</f>
        <v>99</v>
      </c>
    </row>
    <row r="242" spans="1:29" ht="15" thickBot="1" x14ac:dyDescent="0.4">
      <c r="A242" t="s">
        <v>775</v>
      </c>
      <c r="B242">
        <v>1</v>
      </c>
      <c r="C242" s="4">
        <f>B242*10</f>
        <v>10</v>
      </c>
      <c r="D242" s="4">
        <v>0</v>
      </c>
      <c r="F242" s="4">
        <f>(C242+D242)/B242</f>
        <v>10</v>
      </c>
      <c r="G242" s="4">
        <f>C242+D242</f>
        <v>10</v>
      </c>
      <c r="H242" t="s">
        <v>919</v>
      </c>
      <c r="K242" t="s">
        <v>1269</v>
      </c>
      <c r="L242">
        <v>9</v>
      </c>
      <c r="M242" s="4">
        <f>L242*7.25</f>
        <v>65.25</v>
      </c>
      <c r="N242" s="4">
        <v>135</v>
      </c>
      <c r="O242">
        <v>45</v>
      </c>
      <c r="P242" s="4">
        <f>(M242+N242)/L242</f>
        <v>22.25</v>
      </c>
      <c r="Q242" s="4">
        <f>M242+N242</f>
        <v>200.25</v>
      </c>
    </row>
    <row r="243" spans="1:29" ht="15" thickBot="1" x14ac:dyDescent="0.4">
      <c r="B243" s="63">
        <f>SUM(B242)</f>
        <v>1</v>
      </c>
      <c r="C243" s="55">
        <f>SUM(C242)</f>
        <v>10</v>
      </c>
      <c r="D243" s="55">
        <f>SUM(D242)</f>
        <v>0</v>
      </c>
      <c r="E243" s="55">
        <f>SUM(E242)</f>
        <v>0</v>
      </c>
      <c r="F243" s="54">
        <f>(C243+D243)/B243</f>
        <v>10</v>
      </c>
      <c r="G243" s="54">
        <f>C243+D243</f>
        <v>10</v>
      </c>
      <c r="K243" t="s">
        <v>1270</v>
      </c>
      <c r="L243">
        <v>6</v>
      </c>
      <c r="M243" s="4">
        <f>L243*7.25</f>
        <v>43.5</v>
      </c>
      <c r="N243" s="4">
        <v>85</v>
      </c>
      <c r="O243">
        <v>0</v>
      </c>
      <c r="P243" s="4">
        <f>(M243+N243)/L243</f>
        <v>21.416666666666668</v>
      </c>
      <c r="Q243" s="4">
        <f>M243+N243</f>
        <v>128.5</v>
      </c>
    </row>
    <row r="244" spans="1:29" x14ac:dyDescent="0.35">
      <c r="A244" t="s">
        <v>780</v>
      </c>
      <c r="L244" s="63">
        <f>SUM(L241:L243)</f>
        <v>21</v>
      </c>
      <c r="M244" s="55">
        <f>SUM(M241:M243)</f>
        <v>207.75</v>
      </c>
      <c r="N244" s="55">
        <f>SUM(N241:N243)</f>
        <v>220</v>
      </c>
      <c r="O244" s="55">
        <f>SUM(O241:O243)</f>
        <v>45</v>
      </c>
      <c r="P244" s="55">
        <f>(M244+N244+O244)/L244</f>
        <v>22.511904761904763</v>
      </c>
      <c r="Q244" s="54">
        <f>M244+N244</f>
        <v>427.75</v>
      </c>
    </row>
    <row r="245" spans="1:29" ht="15" thickBot="1" x14ac:dyDescent="0.4">
      <c r="A245" t="s">
        <v>781</v>
      </c>
      <c r="B245">
        <v>4.5</v>
      </c>
      <c r="C245" s="4">
        <f>B245*15</f>
        <v>67.5</v>
      </c>
      <c r="D245" s="4">
        <v>0</v>
      </c>
      <c r="F245" s="4">
        <f>(C245+D245)/B245</f>
        <v>15</v>
      </c>
      <c r="G245" s="4">
        <f>C245+D245</f>
        <v>67.5</v>
      </c>
      <c r="K245" s="31" t="s">
        <v>1261</v>
      </c>
      <c r="T245" s="150"/>
      <c r="U245" s="150"/>
    </row>
    <row r="246" spans="1:29" x14ac:dyDescent="0.35">
      <c r="B246" s="63">
        <f>SUM(B245)</f>
        <v>4.5</v>
      </c>
      <c r="C246" s="55">
        <f>SUM(C245)</f>
        <v>67.5</v>
      </c>
      <c r="D246" s="55">
        <f>SUM(D245)</f>
        <v>0</v>
      </c>
      <c r="E246" s="55">
        <f>SUM(E245)</f>
        <v>0</v>
      </c>
      <c r="F246" s="54">
        <f>(C246+D246)/B246</f>
        <v>15</v>
      </c>
      <c r="G246" s="54">
        <f>C246+D246</f>
        <v>67.5</v>
      </c>
      <c r="K246" t="s">
        <v>1271</v>
      </c>
      <c r="L246">
        <v>9</v>
      </c>
      <c r="M246" s="4">
        <f>L246*7.25</f>
        <v>65.25</v>
      </c>
      <c r="N246" s="4">
        <v>119</v>
      </c>
      <c r="O246">
        <v>24</v>
      </c>
      <c r="P246" s="4">
        <f>(M246+N246)/L246</f>
        <v>20.472222222222221</v>
      </c>
      <c r="Q246" s="4">
        <f>M246+N246</f>
        <v>184.25</v>
      </c>
    </row>
    <row r="247" spans="1:29" x14ac:dyDescent="0.35">
      <c r="A247" t="s">
        <v>782</v>
      </c>
      <c r="K247" t="s">
        <v>1272</v>
      </c>
      <c r="L247">
        <v>6</v>
      </c>
      <c r="M247" s="4">
        <f>L247*16.5</f>
        <v>99</v>
      </c>
      <c r="N247" s="4"/>
      <c r="P247" s="4">
        <f>(M247+N247)/L247</f>
        <v>16.5</v>
      </c>
      <c r="Q247" s="4">
        <f>M247+N247</f>
        <v>99</v>
      </c>
    </row>
    <row r="248" spans="1:29" ht="15" thickBot="1" x14ac:dyDescent="0.4">
      <c r="A248" t="s">
        <v>783</v>
      </c>
      <c r="B248">
        <v>7</v>
      </c>
      <c r="C248" s="4">
        <f>B248*15</f>
        <v>105</v>
      </c>
      <c r="D248" s="4">
        <v>0</v>
      </c>
      <c r="F248" s="4">
        <f>(C248+D248)/B248</f>
        <v>15</v>
      </c>
      <c r="G248" s="4">
        <f>C248+D248</f>
        <v>105</v>
      </c>
      <c r="K248" t="s">
        <v>1273</v>
      </c>
      <c r="L248">
        <v>6.5</v>
      </c>
      <c r="M248" s="4">
        <f>L248*7.25</f>
        <v>47.125</v>
      </c>
      <c r="N248" s="4">
        <v>77</v>
      </c>
      <c r="O248">
        <v>17</v>
      </c>
      <c r="P248" s="4">
        <f>(M248+N248)/L248</f>
        <v>19.096153846153847</v>
      </c>
      <c r="Q248" s="4">
        <f>M248+N248</f>
        <v>124.125</v>
      </c>
    </row>
    <row r="249" spans="1:29" ht="15" thickBot="1" x14ac:dyDescent="0.4">
      <c r="A249" t="s">
        <v>784</v>
      </c>
      <c r="B249">
        <v>4.5</v>
      </c>
      <c r="C249" s="4">
        <f>B249*15</f>
        <v>67.5</v>
      </c>
      <c r="D249" s="4">
        <v>0</v>
      </c>
      <c r="E249" s="4">
        <v>90</v>
      </c>
      <c r="F249" s="4">
        <f>(C249+D249)/B249</f>
        <v>15</v>
      </c>
      <c r="G249" s="4">
        <f>C249+D249</f>
        <v>67.5</v>
      </c>
      <c r="L249" s="63">
        <f>SUM(L246:L248)</f>
        <v>21.5</v>
      </c>
      <c r="M249" s="55">
        <f>SUM(M246:M248)</f>
        <v>211.375</v>
      </c>
      <c r="N249" s="55">
        <f>SUM(N246:N248)</f>
        <v>196</v>
      </c>
      <c r="O249" s="55">
        <f>SUM(O246:O248)</f>
        <v>41</v>
      </c>
      <c r="P249" s="55">
        <f>(M249+N249+O249)/L249</f>
        <v>20.854651162790699</v>
      </c>
      <c r="Q249" s="54">
        <f>M249+N249</f>
        <v>407.375</v>
      </c>
    </row>
    <row r="250" spans="1:29" x14ac:dyDescent="0.35">
      <c r="B250" s="63">
        <f>SUM(B248:B249)</f>
        <v>11.5</v>
      </c>
      <c r="C250" s="55">
        <f>SUM(C248:C249)</f>
        <v>172.5</v>
      </c>
      <c r="D250" s="55">
        <f>SUM(D248:D249)</f>
        <v>0</v>
      </c>
      <c r="E250" s="55">
        <f>SUM(E248:E249)</f>
        <v>90</v>
      </c>
      <c r="F250" s="54">
        <f>(C250+D250)/B250</f>
        <v>15</v>
      </c>
      <c r="G250" s="54">
        <f>C250+D250</f>
        <v>172.5</v>
      </c>
      <c r="K250" s="31" t="s">
        <v>1275</v>
      </c>
    </row>
    <row r="251" spans="1:29" x14ac:dyDescent="0.35">
      <c r="K251" t="s">
        <v>1257</v>
      </c>
      <c r="L251">
        <v>7.5</v>
      </c>
      <c r="M251" s="4">
        <f>L251*7.25</f>
        <v>54.375</v>
      </c>
      <c r="N251" s="4">
        <v>70</v>
      </c>
      <c r="P251" s="4">
        <f>(M251+N251)/L251</f>
        <v>16.583333333333332</v>
      </c>
      <c r="Q251" s="4">
        <f>M251+N251</f>
        <v>124.375</v>
      </c>
    </row>
    <row r="252" spans="1:29" ht="15" thickBot="1" x14ac:dyDescent="0.4">
      <c r="A252" s="31" t="s">
        <v>325</v>
      </c>
      <c r="B252" s="31">
        <f>B240+B243+B246+B250</f>
        <v>18</v>
      </c>
      <c r="C252" s="13">
        <f>C240+C243+C246+C250</f>
        <v>260</v>
      </c>
      <c r="D252" s="13">
        <f>D240+D243+D246+D250</f>
        <v>0</v>
      </c>
      <c r="E252" s="13">
        <f>E240+E243+E246+E250</f>
        <v>90</v>
      </c>
      <c r="F252" s="13">
        <f>(C252+D252+E252)/B252</f>
        <v>19.444444444444443</v>
      </c>
      <c r="G252" s="13">
        <f>C252+D252+E252</f>
        <v>350</v>
      </c>
      <c r="K252" t="s">
        <v>1256</v>
      </c>
      <c r="L252">
        <v>8</v>
      </c>
      <c r="M252" s="4">
        <f>L252*7.25</f>
        <v>58</v>
      </c>
      <c r="N252" s="4">
        <v>117</v>
      </c>
      <c r="P252" s="4">
        <f>(M252+N252)/L252</f>
        <v>21.875</v>
      </c>
      <c r="Q252" s="4">
        <f>M252+N252</f>
        <v>175</v>
      </c>
      <c r="R252" t="s">
        <v>1277</v>
      </c>
      <c r="Y252" s="48"/>
      <c r="Z252" s="48"/>
      <c r="AA252" s="48"/>
      <c r="AB252" s="48"/>
      <c r="AC252" s="4"/>
    </row>
    <row r="253" spans="1:29" x14ac:dyDescent="0.35">
      <c r="L253" s="63">
        <f>SUM(L251:L252)</f>
        <v>15.5</v>
      </c>
      <c r="M253" s="55">
        <f>SUM(M251:M252)</f>
        <v>112.375</v>
      </c>
      <c r="N253" s="55">
        <f>SUM(N251:N252)</f>
        <v>187</v>
      </c>
      <c r="O253" s="55">
        <f>SUM(O251:O252)</f>
        <v>0</v>
      </c>
      <c r="P253" s="55">
        <f>(M253+N253+O253)/L253</f>
        <v>19.31451612903226</v>
      </c>
      <c r="Q253" s="54">
        <f>M253+N253</f>
        <v>299.375</v>
      </c>
    </row>
    <row r="254" spans="1:29" x14ac:dyDescent="0.35">
      <c r="M254" s="48"/>
      <c r="N254" s="48"/>
      <c r="O254" s="48"/>
      <c r="P254" s="48"/>
      <c r="Q254" s="4"/>
    </row>
    <row r="255" spans="1:29" x14ac:dyDescent="0.35">
      <c r="A255" s="31" t="s">
        <v>894</v>
      </c>
      <c r="C255" t="s">
        <v>596</v>
      </c>
      <c r="E255" t="s">
        <v>582</v>
      </c>
      <c r="K255" s="31" t="s">
        <v>325</v>
      </c>
      <c r="L255">
        <f>L235+L239+L244+L249+L253</f>
        <v>101</v>
      </c>
      <c r="M255" s="13">
        <f>M235+M239+M244+M249+M253</f>
        <v>963.5</v>
      </c>
      <c r="N255" s="13">
        <f>N235+N239+N244+N249+N253</f>
        <v>953</v>
      </c>
      <c r="O255" s="13">
        <f>O235+O239+O244+O249+O253</f>
        <v>128</v>
      </c>
      <c r="P255" s="13">
        <f>(M255+N255+O255)/L255</f>
        <v>20.242574257425744</v>
      </c>
      <c r="Q255" s="13">
        <f>M255+N255+O255</f>
        <v>2044.5</v>
      </c>
    </row>
    <row r="256" spans="1:29" x14ac:dyDescent="0.35">
      <c r="A256" s="61" t="s">
        <v>598</v>
      </c>
      <c r="B256" s="62" t="s">
        <v>593</v>
      </c>
      <c r="C256" s="62" t="s">
        <v>594</v>
      </c>
      <c r="D256" s="62" t="s">
        <v>599</v>
      </c>
      <c r="E256" s="62" t="s">
        <v>600</v>
      </c>
      <c r="F256" s="62" t="s">
        <v>601</v>
      </c>
      <c r="G256" s="62" t="s">
        <v>325</v>
      </c>
      <c r="H256" s="62" t="s">
        <v>343</v>
      </c>
      <c r="K256" s="31"/>
      <c r="M256" s="13"/>
      <c r="N256" s="13"/>
      <c r="O256" s="13"/>
      <c r="P256" s="13"/>
      <c r="Q256" s="13"/>
    </row>
    <row r="257" spans="1:19" x14ac:dyDescent="0.35">
      <c r="A257" t="s">
        <v>785</v>
      </c>
      <c r="K257" s="31"/>
      <c r="M257" s="13"/>
      <c r="N257" s="13"/>
      <c r="O257" s="13"/>
      <c r="P257" s="13"/>
      <c r="Q257" s="13"/>
    </row>
    <row r="258" spans="1:19" x14ac:dyDescent="0.35">
      <c r="A258" t="s">
        <v>786</v>
      </c>
      <c r="B258">
        <v>7</v>
      </c>
      <c r="C258" s="4">
        <f>B258*10</f>
        <v>70</v>
      </c>
      <c r="D258" s="4">
        <v>60</v>
      </c>
      <c r="F258" s="4">
        <f>(C258+D258)/B258</f>
        <v>18.571428571428573</v>
      </c>
      <c r="G258" s="4">
        <f>C258+D258</f>
        <v>130</v>
      </c>
      <c r="H258" t="s">
        <v>787</v>
      </c>
      <c r="K258" s="31" t="s">
        <v>1274</v>
      </c>
    </row>
    <row r="259" spans="1:19" ht="15" thickBot="1" x14ac:dyDescent="0.4">
      <c r="A259" t="s">
        <v>788</v>
      </c>
      <c r="B259">
        <v>4</v>
      </c>
      <c r="C259" s="4">
        <f>B259*15</f>
        <v>60</v>
      </c>
      <c r="D259" s="4">
        <v>0</v>
      </c>
      <c r="F259" s="4">
        <f>(C259+D259)/B259</f>
        <v>15</v>
      </c>
      <c r="G259" s="4">
        <f>C259+D259</f>
        <v>60</v>
      </c>
      <c r="K259" s="61" t="s">
        <v>598</v>
      </c>
      <c r="L259" s="62" t="s">
        <v>593</v>
      </c>
      <c r="M259" s="62" t="s">
        <v>594</v>
      </c>
      <c r="N259" s="62" t="s">
        <v>599</v>
      </c>
      <c r="O259" s="62" t="s">
        <v>600</v>
      </c>
      <c r="P259" s="62" t="s">
        <v>601</v>
      </c>
      <c r="Q259" s="62" t="s">
        <v>325</v>
      </c>
      <c r="R259" s="62" t="s">
        <v>343</v>
      </c>
      <c r="S259" s="150"/>
    </row>
    <row r="260" spans="1:19" x14ac:dyDescent="0.35">
      <c r="B260" s="63">
        <f>SUM(B258:B259)</f>
        <v>11</v>
      </c>
      <c r="C260" s="55">
        <f>SUM(C258:C259)</f>
        <v>130</v>
      </c>
      <c r="D260" s="55">
        <f>SUM(D258:D259)</f>
        <v>60</v>
      </c>
      <c r="E260" s="55">
        <f>SUM(E258:E259)</f>
        <v>0</v>
      </c>
      <c r="F260" s="54">
        <f>(C260+D260)/B260</f>
        <v>17.272727272727273</v>
      </c>
      <c r="G260" s="54">
        <f>C260+D260</f>
        <v>190</v>
      </c>
      <c r="K260" s="31" t="s">
        <v>1276</v>
      </c>
    </row>
    <row r="261" spans="1:19" x14ac:dyDescent="0.35">
      <c r="A261" t="s">
        <v>789</v>
      </c>
      <c r="H261" s="4">
        <f>G261*15</f>
        <v>0</v>
      </c>
      <c r="K261" t="s">
        <v>1058</v>
      </c>
      <c r="L261">
        <v>1</v>
      </c>
      <c r="M261" s="4">
        <f>L261*10</f>
        <v>10</v>
      </c>
      <c r="N261" s="48">
        <v>0</v>
      </c>
      <c r="O261" s="48"/>
      <c r="P261" s="4">
        <f>(M261+N261)/L261</f>
        <v>10</v>
      </c>
      <c r="Q261" s="4">
        <f>M261+N261</f>
        <v>10</v>
      </c>
    </row>
    <row r="262" spans="1:19" x14ac:dyDescent="0.35">
      <c r="A262" t="s">
        <v>790</v>
      </c>
      <c r="B262">
        <v>9</v>
      </c>
      <c r="C262" s="4">
        <f>B262*10</f>
        <v>90</v>
      </c>
      <c r="D262" s="4">
        <v>125</v>
      </c>
      <c r="F262" s="4">
        <f>(C262+D262)/B262</f>
        <v>23.888888888888889</v>
      </c>
      <c r="G262" s="4">
        <f>C262+D262</f>
        <v>215</v>
      </c>
      <c r="H262" t="s">
        <v>791</v>
      </c>
      <c r="K262" s="31" t="s">
        <v>1281</v>
      </c>
      <c r="M262" s="13"/>
      <c r="N262" s="13"/>
      <c r="O262" s="13"/>
      <c r="P262" s="13"/>
      <c r="Q262" s="13"/>
    </row>
    <row r="263" spans="1:19" x14ac:dyDescent="0.35">
      <c r="A263" t="s">
        <v>792</v>
      </c>
      <c r="B263">
        <v>10</v>
      </c>
      <c r="C263" s="4">
        <f>B263*10</f>
        <v>100</v>
      </c>
      <c r="D263" s="4">
        <v>133</v>
      </c>
      <c r="F263" s="4">
        <f>(C263+D263)/B263</f>
        <v>23.3</v>
      </c>
      <c r="G263" s="4">
        <f>C263+D263</f>
        <v>233</v>
      </c>
      <c r="H263" t="s">
        <v>793</v>
      </c>
      <c r="K263" t="s">
        <v>1278</v>
      </c>
      <c r="L263">
        <v>8</v>
      </c>
      <c r="M263" s="4">
        <f>L263*7.25</f>
        <v>58</v>
      </c>
      <c r="N263" s="4">
        <v>81</v>
      </c>
      <c r="O263">
        <v>35</v>
      </c>
      <c r="P263" s="4">
        <f>(M263+N263)/L263</f>
        <v>17.375</v>
      </c>
      <c r="Q263" s="4">
        <f>M263+N263</f>
        <v>139</v>
      </c>
    </row>
    <row r="264" spans="1:19" ht="15" thickBot="1" x14ac:dyDescent="0.4">
      <c r="A264" t="s">
        <v>794</v>
      </c>
      <c r="B264">
        <v>5</v>
      </c>
      <c r="C264" s="4">
        <f>B264*15</f>
        <v>75</v>
      </c>
      <c r="D264" s="4">
        <v>0</v>
      </c>
      <c r="F264" s="4">
        <f>(C264+D264)/B264</f>
        <v>15</v>
      </c>
      <c r="G264" s="4">
        <f>C264+D264</f>
        <v>75</v>
      </c>
      <c r="K264" t="s">
        <v>1279</v>
      </c>
      <c r="L264">
        <v>6.5</v>
      </c>
      <c r="M264" s="4">
        <f>L264*16.5</f>
        <v>107.25</v>
      </c>
      <c r="N264" s="4"/>
      <c r="P264" s="4">
        <f>(M264+N264)/L264</f>
        <v>16.5</v>
      </c>
      <c r="Q264" s="4">
        <f>M264+N264</f>
        <v>107.25</v>
      </c>
    </row>
    <row r="265" spans="1:19" ht="15" thickBot="1" x14ac:dyDescent="0.4">
      <c r="B265" s="63">
        <f>SUM(B262:B264)</f>
        <v>24</v>
      </c>
      <c r="C265" s="55">
        <f>SUM(C262:C264)</f>
        <v>265</v>
      </c>
      <c r="D265" s="55">
        <f>SUM(D262:D264)</f>
        <v>258</v>
      </c>
      <c r="E265" s="55">
        <f>SUM(E262:E264)</f>
        <v>0</v>
      </c>
      <c r="F265" s="54">
        <f>(C265+D265)/B265</f>
        <v>21.791666666666668</v>
      </c>
      <c r="G265" s="54">
        <f>C265+D265</f>
        <v>523</v>
      </c>
      <c r="K265" t="s">
        <v>1280</v>
      </c>
      <c r="L265">
        <v>5</v>
      </c>
      <c r="M265" s="4">
        <f>L265*16.5</f>
        <v>82.5</v>
      </c>
      <c r="N265" s="4"/>
      <c r="P265" s="4">
        <f>(M265+N265)/L265</f>
        <v>16.5</v>
      </c>
      <c r="Q265" s="4">
        <f>M265+N265</f>
        <v>82.5</v>
      </c>
    </row>
    <row r="266" spans="1:19" x14ac:dyDescent="0.35">
      <c r="A266" t="s">
        <v>795</v>
      </c>
      <c r="L266" s="63">
        <f>SUM(L263:L265)</f>
        <v>19.5</v>
      </c>
      <c r="M266" s="55">
        <f>SUM(M263:M265)</f>
        <v>247.75</v>
      </c>
      <c r="N266" s="55">
        <f>SUM(N263:N265)</f>
        <v>81</v>
      </c>
      <c r="O266" s="55">
        <f>SUM(O263:O265)</f>
        <v>35</v>
      </c>
      <c r="P266" s="55">
        <f>(M266+N266+O266)/L266</f>
        <v>18.653846153846153</v>
      </c>
      <c r="Q266" s="54">
        <f>M266+N266</f>
        <v>328.75</v>
      </c>
    </row>
    <row r="267" spans="1:19" ht="15" thickBot="1" x14ac:dyDescent="0.4">
      <c r="A267" t="s">
        <v>796</v>
      </c>
      <c r="B267">
        <v>6</v>
      </c>
      <c r="C267" s="4">
        <f>B267*10</f>
        <v>60</v>
      </c>
      <c r="D267" s="4">
        <v>53</v>
      </c>
      <c r="F267" s="4">
        <f>(C267+D267)/B267</f>
        <v>18.833333333333332</v>
      </c>
      <c r="G267" s="4">
        <f>C267+D267</f>
        <v>113</v>
      </c>
      <c r="K267" s="31" t="s">
        <v>1282</v>
      </c>
    </row>
    <row r="268" spans="1:19" x14ac:dyDescent="0.35">
      <c r="B268" s="63">
        <f>SUM(B267)</f>
        <v>6</v>
      </c>
      <c r="C268" s="55">
        <f>SUM(C267)</f>
        <v>60</v>
      </c>
      <c r="D268" s="55">
        <f>SUM(D267)</f>
        <v>53</v>
      </c>
      <c r="E268" s="55">
        <f>SUM(E267)</f>
        <v>0</v>
      </c>
      <c r="F268" s="54">
        <f>(C268+D268)/B268</f>
        <v>18.833333333333332</v>
      </c>
      <c r="G268" s="54">
        <f>C268+D268</f>
        <v>113</v>
      </c>
      <c r="K268" t="s">
        <v>1283</v>
      </c>
      <c r="L268">
        <v>7.5</v>
      </c>
      <c r="M268" s="4">
        <f>L268*7.25</f>
        <v>54.375</v>
      </c>
      <c r="N268" s="4">
        <v>103</v>
      </c>
      <c r="O268">
        <v>21</v>
      </c>
      <c r="P268" s="4">
        <f>(M268+N268)/L268</f>
        <v>20.983333333333334</v>
      </c>
      <c r="Q268" s="4">
        <f t="shared" ref="Q268:Q273" si="28">M268+N268</f>
        <v>157.375</v>
      </c>
    </row>
    <row r="269" spans="1:19" x14ac:dyDescent="0.35">
      <c r="A269" t="s">
        <v>797</v>
      </c>
      <c r="K269" t="s">
        <v>1284</v>
      </c>
      <c r="L269">
        <v>7</v>
      </c>
      <c r="M269" s="4">
        <f>L269*7.25</f>
        <v>50.75</v>
      </c>
      <c r="N269" s="4">
        <v>94</v>
      </c>
      <c r="O269">
        <v>31</v>
      </c>
      <c r="P269" s="4">
        <f>(M269+N269)/L269</f>
        <v>20.678571428571427</v>
      </c>
      <c r="Q269" s="4">
        <f t="shared" si="28"/>
        <v>144.75</v>
      </c>
    </row>
    <row r="270" spans="1:19" ht="15" thickBot="1" x14ac:dyDescent="0.4">
      <c r="A270" t="s">
        <v>798</v>
      </c>
      <c r="B270">
        <v>5</v>
      </c>
      <c r="C270" s="4">
        <f>B270*15</f>
        <v>75</v>
      </c>
      <c r="F270" s="4">
        <f>(C270+D270)/B270</f>
        <v>15</v>
      </c>
      <c r="G270" s="4">
        <f>C270+D270</f>
        <v>75</v>
      </c>
      <c r="K270" t="s">
        <v>1285</v>
      </c>
      <c r="L270">
        <v>7</v>
      </c>
      <c r="M270" s="4">
        <f>L270*16.5</f>
        <v>115.5</v>
      </c>
      <c r="N270" s="4"/>
      <c r="P270" s="4">
        <f>(M270+N270)/L270</f>
        <v>16.5</v>
      </c>
      <c r="Q270" s="4">
        <f t="shared" si="28"/>
        <v>115.5</v>
      </c>
    </row>
    <row r="271" spans="1:19" x14ac:dyDescent="0.35">
      <c r="B271" s="63">
        <f>SUM(B270)</f>
        <v>5</v>
      </c>
      <c r="C271" s="55">
        <f>SUM(C270)</f>
        <v>75</v>
      </c>
      <c r="D271" s="55">
        <f>SUM(D270)</f>
        <v>0</v>
      </c>
      <c r="E271" s="55">
        <f>SUM(E270)</f>
        <v>0</v>
      </c>
      <c r="F271" s="54">
        <f>(C271+D271)/B271</f>
        <v>15</v>
      </c>
      <c r="G271" s="54">
        <f>C271+D271</f>
        <v>75</v>
      </c>
      <c r="K271" t="s">
        <v>1286</v>
      </c>
      <c r="L271">
        <v>6.5</v>
      </c>
      <c r="M271" s="4">
        <f>L271*7.25</f>
        <v>47.125</v>
      </c>
      <c r="N271" s="4">
        <v>93</v>
      </c>
      <c r="O271">
        <v>41</v>
      </c>
      <c r="P271" s="4">
        <f>(M271+N271)/L271</f>
        <v>21.557692307692307</v>
      </c>
      <c r="Q271" s="4">
        <f t="shared" si="28"/>
        <v>140.125</v>
      </c>
      <c r="R271" t="s">
        <v>1288</v>
      </c>
    </row>
    <row r="272" spans="1:19" ht="15" thickBot="1" x14ac:dyDescent="0.4">
      <c r="K272" t="s">
        <v>1286</v>
      </c>
      <c r="L272">
        <v>7</v>
      </c>
      <c r="M272" s="4">
        <f>L272*16.5</f>
        <v>115.5</v>
      </c>
      <c r="N272" s="4"/>
      <c r="P272" s="4">
        <f>(M272+N272)/L272</f>
        <v>16.5</v>
      </c>
      <c r="Q272" s="4">
        <f t="shared" si="28"/>
        <v>115.5</v>
      </c>
      <c r="R272" t="s">
        <v>1288</v>
      </c>
    </row>
    <row r="273" spans="1:19" x14ac:dyDescent="0.35">
      <c r="A273" s="31" t="s">
        <v>325</v>
      </c>
      <c r="B273" s="31">
        <f>B260+B265+B268+B271</f>
        <v>46</v>
      </c>
      <c r="C273" s="13">
        <f>C260+C265+C268+C271</f>
        <v>530</v>
      </c>
      <c r="D273" s="13">
        <f>D260+D265+D268+D271</f>
        <v>371</v>
      </c>
      <c r="E273" s="13">
        <f>E260+E265+E268+E271</f>
        <v>0</v>
      </c>
      <c r="F273" s="13">
        <f>(C273+D273+E273)/B273</f>
        <v>19.586956521739129</v>
      </c>
      <c r="G273" s="13">
        <f>C273+D273+E273</f>
        <v>901</v>
      </c>
      <c r="L273" s="63">
        <f>SUM(L268:L272)</f>
        <v>35</v>
      </c>
      <c r="M273" s="55">
        <f>SUM(M268:M272)</f>
        <v>383.25</v>
      </c>
      <c r="N273" s="55">
        <f>SUM(N268:N272)</f>
        <v>290</v>
      </c>
      <c r="O273" s="55">
        <f>SUM(O268:O272)</f>
        <v>93</v>
      </c>
      <c r="P273" s="55">
        <f>(M273+N273+O273)/L273</f>
        <v>21.892857142857142</v>
      </c>
      <c r="Q273" s="54">
        <f t="shared" si="28"/>
        <v>673.25</v>
      </c>
    </row>
    <row r="274" spans="1:19" x14ac:dyDescent="0.35">
      <c r="K274" s="31" t="s">
        <v>1318</v>
      </c>
    </row>
    <row r="275" spans="1:19" x14ac:dyDescent="0.35">
      <c r="K275" t="s">
        <v>1289</v>
      </c>
      <c r="L275">
        <v>6.5</v>
      </c>
      <c r="M275" s="4">
        <f>L275*7.25</f>
        <v>47.125</v>
      </c>
      <c r="N275" s="4">
        <v>74</v>
      </c>
      <c r="O275">
        <v>19</v>
      </c>
      <c r="P275" s="4">
        <f>(M275+N275)/L275</f>
        <v>18.634615384615383</v>
      </c>
      <c r="Q275" s="4">
        <f>M275+N275</f>
        <v>121.125</v>
      </c>
    </row>
    <row r="276" spans="1:19" x14ac:dyDescent="0.35">
      <c r="A276" s="31" t="s">
        <v>895</v>
      </c>
      <c r="C276" t="s">
        <v>596</v>
      </c>
      <c r="E276" t="s">
        <v>582</v>
      </c>
      <c r="K276" t="s">
        <v>1299</v>
      </c>
      <c r="L276">
        <v>7</v>
      </c>
      <c r="M276" s="4">
        <f>L276*7.25</f>
        <v>50.75</v>
      </c>
      <c r="N276" s="4">
        <v>135</v>
      </c>
      <c r="O276">
        <v>14</v>
      </c>
      <c r="P276" s="4">
        <f>(M276+N276)/L276</f>
        <v>26.535714285714285</v>
      </c>
      <c r="Q276" s="4">
        <f>M276+N276</f>
        <v>185.75</v>
      </c>
    </row>
    <row r="277" spans="1:19" x14ac:dyDescent="0.35">
      <c r="A277" s="61" t="s">
        <v>598</v>
      </c>
      <c r="B277" s="62" t="s">
        <v>593</v>
      </c>
      <c r="C277" s="62" t="s">
        <v>594</v>
      </c>
      <c r="D277" s="62" t="s">
        <v>599</v>
      </c>
      <c r="E277" s="62" t="s">
        <v>600</v>
      </c>
      <c r="F277" s="62" t="s">
        <v>601</v>
      </c>
      <c r="G277" s="62" t="s">
        <v>325</v>
      </c>
      <c r="H277" s="62" t="s">
        <v>343</v>
      </c>
      <c r="K277" t="s">
        <v>1298</v>
      </c>
      <c r="L277">
        <v>6</v>
      </c>
      <c r="M277" s="4">
        <f>L277*16.5</f>
        <v>99</v>
      </c>
      <c r="N277" s="4"/>
      <c r="P277" s="4">
        <f>(M277+N277)/L277</f>
        <v>16.5</v>
      </c>
      <c r="Q277" s="4">
        <f>M277+N277</f>
        <v>99</v>
      </c>
    </row>
    <row r="278" spans="1:19" ht="15" thickBot="1" x14ac:dyDescent="0.4">
      <c r="A278" t="s">
        <v>799</v>
      </c>
      <c r="K278" t="s">
        <v>1297</v>
      </c>
      <c r="L278">
        <v>8</v>
      </c>
      <c r="M278" s="4">
        <f>L278*7.25</f>
        <v>58</v>
      </c>
      <c r="N278" s="4">
        <v>137</v>
      </c>
      <c r="P278" s="4">
        <f>(M278+N278)/L278</f>
        <v>24.375</v>
      </c>
      <c r="Q278" s="4">
        <f>M278+N278</f>
        <v>195</v>
      </c>
    </row>
    <row r="279" spans="1:19" ht="15" thickBot="1" x14ac:dyDescent="0.4">
      <c r="A279" t="s">
        <v>800</v>
      </c>
      <c r="B279">
        <v>1</v>
      </c>
      <c r="C279" s="4">
        <f>B279*10</f>
        <v>10</v>
      </c>
      <c r="F279" s="4">
        <f>(C279+D279)/B279</f>
        <v>10</v>
      </c>
      <c r="G279" s="4">
        <f>C279+D279</f>
        <v>10</v>
      </c>
      <c r="L279" s="63">
        <f>SUM(L275:L278)</f>
        <v>27.5</v>
      </c>
      <c r="M279" s="55">
        <f>SUM(M275:M278)</f>
        <v>254.875</v>
      </c>
      <c r="N279" s="55">
        <f>SUM(N275:N278)</f>
        <v>346</v>
      </c>
      <c r="O279" s="55">
        <f>SUM(O275:O278)</f>
        <v>33</v>
      </c>
      <c r="P279" s="55">
        <f>(M279+N279+O279)/L279</f>
        <v>23.05</v>
      </c>
      <c r="Q279" s="54">
        <f>M279+N279</f>
        <v>600.875</v>
      </c>
    </row>
    <row r="280" spans="1:19" x14ac:dyDescent="0.35">
      <c r="B280" s="63">
        <f>SUM(B279)</f>
        <v>1</v>
      </c>
      <c r="C280" s="55">
        <f>SUM(C279)</f>
        <v>10</v>
      </c>
      <c r="D280" s="55">
        <f>SUM(D279)</f>
        <v>0</v>
      </c>
      <c r="E280" s="55">
        <f>SUM(E279)</f>
        <v>0</v>
      </c>
      <c r="F280" s="54">
        <f>(C280+D280)/B280</f>
        <v>10</v>
      </c>
      <c r="G280" s="54">
        <f>C280+D280</f>
        <v>10</v>
      </c>
      <c r="M280" s="48"/>
      <c r="N280" s="48"/>
      <c r="O280" s="48"/>
      <c r="P280" s="48"/>
      <c r="Q280" s="4"/>
    </row>
    <row r="281" spans="1:19" x14ac:dyDescent="0.35">
      <c r="A281" t="s">
        <v>801</v>
      </c>
      <c r="K281" s="31"/>
      <c r="M281" s="13"/>
      <c r="N281" s="13"/>
      <c r="O281" s="13"/>
      <c r="P281" s="13"/>
      <c r="Q281" s="13"/>
    </row>
    <row r="282" spans="1:19" x14ac:dyDescent="0.35">
      <c r="A282" t="s">
        <v>802</v>
      </c>
      <c r="B282">
        <v>5.5</v>
      </c>
      <c r="C282" s="4">
        <f>B282*15</f>
        <v>82.5</v>
      </c>
      <c r="F282" s="4">
        <f>(C282+D282)/B282</f>
        <v>15</v>
      </c>
      <c r="G282" s="4">
        <f>C282+D282</f>
        <v>82.5</v>
      </c>
      <c r="K282" s="31" t="s">
        <v>325</v>
      </c>
      <c r="L282" s="31">
        <f>L266+L273+L279</f>
        <v>82</v>
      </c>
      <c r="M282" s="13">
        <f>M266+M273+M279</f>
        <v>885.875</v>
      </c>
      <c r="N282" s="13">
        <f>N266+N273+N279</f>
        <v>717</v>
      </c>
      <c r="O282" s="13">
        <f>O266+O273+O279</f>
        <v>161</v>
      </c>
      <c r="P282" s="13">
        <f>(M282+N282+O282)/L282</f>
        <v>21.510670731707318</v>
      </c>
      <c r="Q282" s="13">
        <f>M282+N282+O282</f>
        <v>1763.875</v>
      </c>
    </row>
    <row r="283" spans="1:19" ht="15" thickBot="1" x14ac:dyDescent="0.4">
      <c r="A283" t="s">
        <v>803</v>
      </c>
      <c r="B283">
        <v>9.5</v>
      </c>
      <c r="C283" s="4">
        <f>(3*15)+(6.5*10)</f>
        <v>110</v>
      </c>
      <c r="D283" s="4">
        <v>42</v>
      </c>
      <c r="F283" s="4">
        <f>(C283+D283)/B283</f>
        <v>16</v>
      </c>
      <c r="G283" s="4">
        <f>C283+D283</f>
        <v>152</v>
      </c>
      <c r="K283" s="31"/>
      <c r="L283" s="31"/>
      <c r="M283" s="13"/>
      <c r="N283" s="13"/>
      <c r="O283" s="13"/>
      <c r="P283" s="13"/>
      <c r="Q283" s="13"/>
    </row>
    <row r="284" spans="1:19" x14ac:dyDescent="0.35">
      <c r="B284" s="63">
        <f>SUM(B282:B283)</f>
        <v>15</v>
      </c>
      <c r="C284" s="55">
        <f>SUM(C282:C283)</f>
        <v>192.5</v>
      </c>
      <c r="D284" s="55">
        <f>SUM(D282:D283)</f>
        <v>42</v>
      </c>
      <c r="E284" s="55">
        <f>SUM(E282:E283)</f>
        <v>0</v>
      </c>
      <c r="F284" s="54">
        <f>(C284+D284)/B284</f>
        <v>15.633333333333333</v>
      </c>
      <c r="G284" s="54">
        <f>C284+D284</f>
        <v>234.5</v>
      </c>
      <c r="K284" s="31"/>
      <c r="L284" s="31"/>
      <c r="M284" s="13"/>
      <c r="N284" s="13"/>
      <c r="O284" s="13"/>
      <c r="P284" s="13"/>
      <c r="Q284" s="13"/>
    </row>
    <row r="285" spans="1:19" x14ac:dyDescent="0.35">
      <c r="A285" t="s">
        <v>804</v>
      </c>
      <c r="K285" s="31" t="s">
        <v>1304</v>
      </c>
    </row>
    <row r="286" spans="1:19" x14ac:dyDescent="0.35">
      <c r="A286" t="s">
        <v>805</v>
      </c>
      <c r="B286">
        <v>5.5</v>
      </c>
      <c r="C286" s="4">
        <f>B286*10</f>
        <v>55</v>
      </c>
      <c r="D286" s="4">
        <v>51</v>
      </c>
      <c r="F286" s="4">
        <f>(C286+D286)/B286</f>
        <v>19.272727272727273</v>
      </c>
      <c r="G286" s="4">
        <f>C286+D286</f>
        <v>106</v>
      </c>
      <c r="K286" s="61" t="s">
        <v>598</v>
      </c>
      <c r="L286" s="62" t="s">
        <v>593</v>
      </c>
      <c r="M286" s="62" t="s">
        <v>594</v>
      </c>
      <c r="N286" s="62" t="s">
        <v>599</v>
      </c>
      <c r="O286" s="62" t="s">
        <v>600</v>
      </c>
      <c r="P286" s="62" t="s">
        <v>601</v>
      </c>
      <c r="Q286" s="62" t="s">
        <v>325</v>
      </c>
      <c r="R286" s="62" t="s">
        <v>343</v>
      </c>
      <c r="S286" s="150"/>
    </row>
    <row r="287" spans="1:19" x14ac:dyDescent="0.35">
      <c r="A287" t="s">
        <v>810</v>
      </c>
      <c r="B287">
        <v>5.5</v>
      </c>
      <c r="C287" s="4">
        <f>B287*15</f>
        <v>82.5</v>
      </c>
      <c r="D287" s="4"/>
      <c r="F287" s="4">
        <f>(C287+D287)/B287</f>
        <v>15</v>
      </c>
      <c r="G287" s="4">
        <f>C287+D287</f>
        <v>82.5</v>
      </c>
      <c r="K287" s="31" t="s">
        <v>1319</v>
      </c>
    </row>
    <row r="288" spans="1:19" ht="15" thickBot="1" x14ac:dyDescent="0.4">
      <c r="A288" t="s">
        <v>806</v>
      </c>
      <c r="B288">
        <v>1</v>
      </c>
      <c r="C288" s="4">
        <f>B288*15</f>
        <v>15</v>
      </c>
      <c r="F288" s="4">
        <f>(C288+D288)/B288</f>
        <v>15</v>
      </c>
      <c r="G288" s="4">
        <f>C288+D288</f>
        <v>15</v>
      </c>
      <c r="K288" t="s">
        <v>1301</v>
      </c>
      <c r="L288">
        <v>6</v>
      </c>
      <c r="M288" s="4">
        <f>L288*10</f>
        <v>60</v>
      </c>
      <c r="N288" s="4">
        <v>60</v>
      </c>
      <c r="O288">
        <v>22</v>
      </c>
      <c r="P288" s="4">
        <f>(M288+N288)/L288</f>
        <v>20</v>
      </c>
      <c r="Q288" s="4">
        <f>M288+N288</f>
        <v>120</v>
      </c>
      <c r="R288" t="s">
        <v>1300</v>
      </c>
    </row>
    <row r="289" spans="1:17" x14ac:dyDescent="0.35">
      <c r="B289" s="63">
        <f>SUM(B286:B288)</f>
        <v>12</v>
      </c>
      <c r="C289" s="55">
        <f>SUM(C286:C288)</f>
        <v>152.5</v>
      </c>
      <c r="D289" s="55">
        <f>SUM(D286:D288)</f>
        <v>51</v>
      </c>
      <c r="E289" s="55">
        <f>SUM(E286:E288)</f>
        <v>0</v>
      </c>
      <c r="F289" s="54">
        <f>(C289+D289)/B289</f>
        <v>16.958333333333332</v>
      </c>
      <c r="G289" s="54">
        <f>C289+D289</f>
        <v>203.5</v>
      </c>
      <c r="K289" t="s">
        <v>1302</v>
      </c>
      <c r="L289">
        <v>6.5</v>
      </c>
      <c r="M289" s="4">
        <f>L289*16.5</f>
        <v>107.25</v>
      </c>
      <c r="N289" s="4"/>
      <c r="P289" s="4">
        <f>(M289+N289)/L289</f>
        <v>16.5</v>
      </c>
      <c r="Q289" s="4">
        <f>M289+N289</f>
        <v>107.25</v>
      </c>
    </row>
    <row r="290" spans="1:17" ht="15" thickBot="1" x14ac:dyDescent="0.4">
      <c r="A290" t="s">
        <v>811</v>
      </c>
      <c r="K290" t="s">
        <v>1303</v>
      </c>
      <c r="L290">
        <v>8.5</v>
      </c>
      <c r="M290" s="4">
        <f>L290*7.25</f>
        <v>61.625</v>
      </c>
      <c r="N290" s="4">
        <v>200</v>
      </c>
      <c r="O290">
        <v>40</v>
      </c>
      <c r="P290" s="4">
        <f>(M290+N290)/L290</f>
        <v>30.779411764705884</v>
      </c>
      <c r="Q290" s="4">
        <f>M290+N290</f>
        <v>261.625</v>
      </c>
    </row>
    <row r="291" spans="1:17" x14ac:dyDescent="0.35">
      <c r="A291" t="s">
        <v>812</v>
      </c>
      <c r="B291">
        <v>6</v>
      </c>
      <c r="C291" s="4">
        <f>B291*10</f>
        <v>60</v>
      </c>
      <c r="D291" s="4">
        <v>44</v>
      </c>
      <c r="F291" s="4">
        <f>(C291+D291)/B291</f>
        <v>17.333333333333332</v>
      </c>
      <c r="G291" s="4">
        <f>C291+D291</f>
        <v>104</v>
      </c>
      <c r="L291" s="63">
        <f>SUM(L288:L290)</f>
        <v>21</v>
      </c>
      <c r="M291" s="55">
        <f>SUM(M288:M290)</f>
        <v>228.875</v>
      </c>
      <c r="N291" s="55">
        <f>SUM(N288:N290)</f>
        <v>260</v>
      </c>
      <c r="O291" s="55">
        <f>SUM(O288:O290)</f>
        <v>62</v>
      </c>
      <c r="P291" s="55">
        <f>(M291+N291+O291)/L291</f>
        <v>26.232142857142858</v>
      </c>
      <c r="Q291" s="54">
        <f>M291+N291</f>
        <v>488.875</v>
      </c>
    </row>
    <row r="292" spans="1:17" ht="15" thickBot="1" x14ac:dyDescent="0.4">
      <c r="A292" t="s">
        <v>813</v>
      </c>
      <c r="B292">
        <v>5.5</v>
      </c>
      <c r="C292" s="4">
        <f>B292*10</f>
        <v>55</v>
      </c>
      <c r="D292" s="4">
        <v>29</v>
      </c>
      <c r="F292" s="4">
        <f>(C292+D292)/B292</f>
        <v>15.272727272727273</v>
      </c>
      <c r="G292" s="4">
        <f>C292+D292</f>
        <v>84</v>
      </c>
      <c r="K292" s="31" t="s">
        <v>1320</v>
      </c>
    </row>
    <row r="293" spans="1:17" x14ac:dyDescent="0.35">
      <c r="B293" s="63">
        <f>SUM(B291:B292)</f>
        <v>11.5</v>
      </c>
      <c r="C293" s="55">
        <f>SUM(C291:C292)</f>
        <v>115</v>
      </c>
      <c r="D293" s="55">
        <f>SUM(D291:D292)</f>
        <v>73</v>
      </c>
      <c r="E293" s="55">
        <f>SUM(E291:E292)</f>
        <v>0</v>
      </c>
      <c r="F293" s="54">
        <f>(C293+D293)/B293</f>
        <v>16.347826086956523</v>
      </c>
      <c r="G293" s="54">
        <f>C293+D293</f>
        <v>188</v>
      </c>
      <c r="K293" t="s">
        <v>1309</v>
      </c>
      <c r="L293">
        <v>6.5</v>
      </c>
      <c r="M293" s="4">
        <f>L293*7.25</f>
        <v>47.125</v>
      </c>
      <c r="N293" s="4">
        <v>67</v>
      </c>
      <c r="O293">
        <v>14</v>
      </c>
      <c r="P293" s="4">
        <f>(M293+N293)/L293</f>
        <v>17.557692307692307</v>
      </c>
      <c r="Q293" s="4">
        <f t="shared" ref="Q293:Q298" si="29">M293+N293</f>
        <v>114.125</v>
      </c>
    </row>
    <row r="294" spans="1:17" x14ac:dyDescent="0.35">
      <c r="A294" t="s">
        <v>814</v>
      </c>
      <c r="K294" t="s">
        <v>1310</v>
      </c>
      <c r="L294">
        <v>9</v>
      </c>
      <c r="M294" s="4">
        <f>L294*7.25</f>
        <v>65.25</v>
      </c>
      <c r="N294" s="4">
        <v>155</v>
      </c>
      <c r="O294">
        <v>29</v>
      </c>
      <c r="P294" s="4">
        <f>(M294+N294)/L294</f>
        <v>24.472222222222221</v>
      </c>
      <c r="Q294" s="4">
        <f t="shared" si="29"/>
        <v>220.25</v>
      </c>
    </row>
    <row r="295" spans="1:17" ht="15" thickBot="1" x14ac:dyDescent="0.4">
      <c r="A295" t="s">
        <v>827</v>
      </c>
      <c r="B295">
        <v>6</v>
      </c>
      <c r="C295" s="4">
        <f>B295*10</f>
        <v>60</v>
      </c>
      <c r="D295">
        <v>85</v>
      </c>
      <c r="F295" s="4">
        <f>(C295+D295)/B295</f>
        <v>24.166666666666668</v>
      </c>
      <c r="G295" s="4">
        <f>C295+D295</f>
        <v>145</v>
      </c>
      <c r="H295" t="s">
        <v>815</v>
      </c>
      <c r="K295" t="s">
        <v>1311</v>
      </c>
      <c r="L295">
        <v>9</v>
      </c>
      <c r="M295" s="4">
        <f>L295*7.25</f>
        <v>65.25</v>
      </c>
      <c r="N295" s="4">
        <v>92</v>
      </c>
      <c r="P295" s="4">
        <f>(M295+N295)/L295</f>
        <v>17.472222222222221</v>
      </c>
      <c r="Q295" s="4">
        <f t="shared" si="29"/>
        <v>157.25</v>
      </c>
    </row>
    <row r="296" spans="1:17" x14ac:dyDescent="0.35">
      <c r="B296" s="63">
        <f>SUM(B295)</f>
        <v>6</v>
      </c>
      <c r="C296" s="55">
        <f>SUM(C295)</f>
        <v>60</v>
      </c>
      <c r="D296" s="55">
        <f>SUM(D295)</f>
        <v>85</v>
      </c>
      <c r="E296" s="55">
        <f>SUM(E295)</f>
        <v>0</v>
      </c>
      <c r="F296" s="54">
        <f>(C296+D296)/B296</f>
        <v>24.166666666666668</v>
      </c>
      <c r="G296" s="54">
        <f>C296+D296</f>
        <v>145</v>
      </c>
      <c r="K296" t="s">
        <v>1312</v>
      </c>
      <c r="L296">
        <v>9</v>
      </c>
      <c r="M296" s="4">
        <f>L296*16.5</f>
        <v>148.5</v>
      </c>
      <c r="N296" s="4"/>
      <c r="P296" s="4">
        <f>(M296+N296)/L296</f>
        <v>16.5</v>
      </c>
      <c r="Q296" s="4">
        <f t="shared" si="29"/>
        <v>148.5</v>
      </c>
    </row>
    <row r="297" spans="1:17" ht="15" thickBot="1" x14ac:dyDescent="0.4">
      <c r="K297" t="s">
        <v>1313</v>
      </c>
      <c r="L297">
        <v>11</v>
      </c>
      <c r="M297" s="4">
        <f>L297*7.25</f>
        <v>79.75</v>
      </c>
      <c r="N297" s="4">
        <v>254</v>
      </c>
      <c r="O297">
        <v>20</v>
      </c>
      <c r="P297" s="4">
        <f>(M297+N297)/L297</f>
        <v>30.34090909090909</v>
      </c>
      <c r="Q297" s="4">
        <f t="shared" si="29"/>
        <v>333.75</v>
      </c>
    </row>
    <row r="298" spans="1:17" x14ac:dyDescent="0.35">
      <c r="A298" s="31" t="s">
        <v>325</v>
      </c>
      <c r="B298" s="31">
        <f>B280+B284+B289+B293+B296</f>
        <v>45.5</v>
      </c>
      <c r="C298" s="13">
        <f>C280+C284+C289+C293+C296</f>
        <v>530</v>
      </c>
      <c r="D298" s="13">
        <f>D280+D284+D289+D293+D296</f>
        <v>251</v>
      </c>
      <c r="E298" s="13">
        <f>E280+E284+E289+E293+E296</f>
        <v>0</v>
      </c>
      <c r="F298" s="13">
        <f>(C298+D298+E298)/B298</f>
        <v>17.164835164835164</v>
      </c>
      <c r="G298" s="13">
        <f>C298+D298+E298</f>
        <v>781</v>
      </c>
      <c r="L298" s="63">
        <f>SUM(L293:L297)</f>
        <v>44.5</v>
      </c>
      <c r="M298" s="55">
        <f>SUM(M293:M297)</f>
        <v>405.875</v>
      </c>
      <c r="N298" s="55">
        <f>SUM(N293:N297)</f>
        <v>568</v>
      </c>
      <c r="O298" s="55">
        <f>SUM(O293:O297)</f>
        <v>63</v>
      </c>
      <c r="P298" s="55">
        <f>(M298+N298+O298)/L298</f>
        <v>23.30056179775281</v>
      </c>
      <c r="Q298" s="54">
        <f t="shared" si="29"/>
        <v>973.875</v>
      </c>
    </row>
    <row r="299" spans="1:17" x14ac:dyDescent="0.35">
      <c r="K299" s="31" t="s">
        <v>1321</v>
      </c>
    </row>
    <row r="300" spans="1:17" x14ac:dyDescent="0.35">
      <c r="K300" t="s">
        <v>1314</v>
      </c>
      <c r="L300">
        <v>2.5</v>
      </c>
      <c r="M300" s="4">
        <f>L300*7.25</f>
        <v>18.125</v>
      </c>
      <c r="N300" s="4">
        <v>67</v>
      </c>
      <c r="P300" s="4">
        <f>(M300+N300)/L300</f>
        <v>34.049999999999997</v>
      </c>
      <c r="Q300" s="4">
        <f>M300+N300</f>
        <v>85.125</v>
      </c>
    </row>
    <row r="301" spans="1:17" x14ac:dyDescent="0.35">
      <c r="A301" s="31" t="s">
        <v>935</v>
      </c>
      <c r="C301" t="s">
        <v>596</v>
      </c>
      <c r="E301" t="s">
        <v>582</v>
      </c>
      <c r="K301" t="s">
        <v>1305</v>
      </c>
      <c r="L301">
        <v>8.5</v>
      </c>
      <c r="M301" s="4">
        <f>L301*7.25</f>
        <v>61.625</v>
      </c>
      <c r="N301" s="4">
        <v>108</v>
      </c>
      <c r="O301">
        <v>10</v>
      </c>
      <c r="P301" s="4">
        <f>(M301+N301)/L301</f>
        <v>19.955882352941178</v>
      </c>
      <c r="Q301" s="4">
        <f>M301+N301</f>
        <v>169.625</v>
      </c>
    </row>
    <row r="302" spans="1:17" x14ac:dyDescent="0.35">
      <c r="A302" s="61" t="s">
        <v>598</v>
      </c>
      <c r="B302" s="62" t="s">
        <v>593</v>
      </c>
      <c r="C302" s="62" t="s">
        <v>594</v>
      </c>
      <c r="D302" s="62" t="s">
        <v>599</v>
      </c>
      <c r="E302" s="62" t="s">
        <v>600</v>
      </c>
      <c r="F302" s="62" t="s">
        <v>601</v>
      </c>
      <c r="G302" s="62" t="s">
        <v>325</v>
      </c>
      <c r="H302" s="62" t="s">
        <v>343</v>
      </c>
      <c r="K302" t="s">
        <v>1306</v>
      </c>
      <c r="L302">
        <v>7.5</v>
      </c>
      <c r="M302" s="4">
        <f>L302*7.25</f>
        <v>54.375</v>
      </c>
      <c r="N302" s="4">
        <v>144</v>
      </c>
      <c r="O302">
        <v>21</v>
      </c>
      <c r="P302" s="4">
        <f>(M302+N302)/L302</f>
        <v>26.45</v>
      </c>
      <c r="Q302" s="4">
        <f>M302+N302</f>
        <v>198.375</v>
      </c>
    </row>
    <row r="303" spans="1:17" ht="15" thickBot="1" x14ac:dyDescent="0.4">
      <c r="A303" t="s">
        <v>857</v>
      </c>
      <c r="K303" t="s">
        <v>1315</v>
      </c>
      <c r="L303">
        <v>6</v>
      </c>
      <c r="M303" s="4">
        <f>L303*7.25</f>
        <v>43.5</v>
      </c>
      <c r="N303" s="4">
        <v>65</v>
      </c>
      <c r="O303">
        <v>16</v>
      </c>
      <c r="P303" s="4">
        <f>(M303+N303)/L303</f>
        <v>18.083333333333332</v>
      </c>
      <c r="Q303" s="4">
        <f>M303+N303</f>
        <v>108.5</v>
      </c>
    </row>
    <row r="304" spans="1:17" ht="15" thickBot="1" x14ac:dyDescent="0.4">
      <c r="A304" t="s">
        <v>826</v>
      </c>
      <c r="B304">
        <v>1</v>
      </c>
      <c r="C304" s="4">
        <f>B304*10</f>
        <v>10</v>
      </c>
      <c r="F304" s="4">
        <f>(C304+D304)/B304</f>
        <v>10</v>
      </c>
      <c r="G304" s="4">
        <f>C304+D304</f>
        <v>10</v>
      </c>
      <c r="L304" s="63">
        <f>SUM(L300:L303)</f>
        <v>24.5</v>
      </c>
      <c r="M304" s="55">
        <f>SUM(M300:M303)</f>
        <v>177.625</v>
      </c>
      <c r="N304" s="55">
        <f>SUM(N300:N303)</f>
        <v>384</v>
      </c>
      <c r="O304" s="55">
        <f>SUM(O300:O303)</f>
        <v>47</v>
      </c>
      <c r="P304" s="55">
        <f>(M304+N304+O304)/L304</f>
        <v>24.841836734693878</v>
      </c>
      <c r="Q304" s="54">
        <f>M304+N304</f>
        <v>561.625</v>
      </c>
    </row>
    <row r="305" spans="1:18" x14ac:dyDescent="0.35">
      <c r="B305" s="63">
        <f>SUM(B304)</f>
        <v>1</v>
      </c>
      <c r="C305" s="55">
        <f>SUM(C304)</f>
        <v>10</v>
      </c>
      <c r="D305" s="55">
        <f>SUM(D304)</f>
        <v>0</v>
      </c>
      <c r="E305" s="55">
        <f>SUM(E304)</f>
        <v>0</v>
      </c>
      <c r="F305" s="54">
        <f>(C305+D305)/B305</f>
        <v>10</v>
      </c>
      <c r="G305" s="54">
        <f>C305+D305</f>
        <v>10</v>
      </c>
      <c r="K305" s="31" t="s">
        <v>1322</v>
      </c>
    </row>
    <row r="306" spans="1:18" x14ac:dyDescent="0.35">
      <c r="A306" t="s">
        <v>858</v>
      </c>
      <c r="K306" t="s">
        <v>1307</v>
      </c>
      <c r="L306">
        <v>8.5</v>
      </c>
      <c r="M306" s="4">
        <f>L306*7.25</f>
        <v>61.625</v>
      </c>
      <c r="N306" s="4">
        <v>181</v>
      </c>
      <c r="O306">
        <v>36</v>
      </c>
      <c r="P306" s="4">
        <f>(M306+N306)/L306</f>
        <v>28.544117647058822</v>
      </c>
      <c r="Q306" s="4">
        <f t="shared" ref="Q306:Q311" si="30">M306+N306</f>
        <v>242.625</v>
      </c>
    </row>
    <row r="307" spans="1:18" x14ac:dyDescent="0.35">
      <c r="A307" t="s">
        <v>859</v>
      </c>
      <c r="B307">
        <v>6</v>
      </c>
      <c r="C307" s="4">
        <f>B307*10</f>
        <v>60</v>
      </c>
      <c r="D307" s="4">
        <v>53</v>
      </c>
      <c r="F307" s="4">
        <f>(C307+D307)/B307</f>
        <v>18.833333333333332</v>
      </c>
      <c r="G307" s="4">
        <f>C307+D307</f>
        <v>113</v>
      </c>
      <c r="K307" t="s">
        <v>1308</v>
      </c>
      <c r="L307">
        <v>8</v>
      </c>
      <c r="M307" s="4">
        <f>L307*7.25</f>
        <v>58</v>
      </c>
      <c r="N307" s="4">
        <v>101</v>
      </c>
      <c r="O307">
        <v>8</v>
      </c>
      <c r="P307" s="4">
        <f>(M307+N307)/L307</f>
        <v>19.875</v>
      </c>
      <c r="Q307" s="4">
        <f t="shared" si="30"/>
        <v>159</v>
      </c>
    </row>
    <row r="308" spans="1:18" x14ac:dyDescent="0.35">
      <c r="A308" t="s">
        <v>860</v>
      </c>
      <c r="B308">
        <v>9</v>
      </c>
      <c r="C308" s="4">
        <f>B308*10</f>
        <v>90</v>
      </c>
      <c r="D308" s="4">
        <v>94</v>
      </c>
      <c r="F308" s="4">
        <f>(C308+D308)/B308</f>
        <v>20.444444444444443</v>
      </c>
      <c r="G308" s="4">
        <f>C308+D308</f>
        <v>184</v>
      </c>
      <c r="K308" t="s">
        <v>1316</v>
      </c>
      <c r="L308">
        <v>6.5</v>
      </c>
      <c r="M308" s="4">
        <f>L308*16.5</f>
        <v>107.25</v>
      </c>
      <c r="N308" s="4"/>
      <c r="P308" s="4">
        <f>(M308+N308)/L308</f>
        <v>16.5</v>
      </c>
      <c r="Q308" s="4">
        <f t="shared" si="30"/>
        <v>107.25</v>
      </c>
    </row>
    <row r="309" spans="1:18" ht="15" thickBot="1" x14ac:dyDescent="0.4">
      <c r="A309" t="s">
        <v>861</v>
      </c>
      <c r="B309">
        <v>5</v>
      </c>
      <c r="C309" s="4">
        <f>B309*15</f>
        <v>75</v>
      </c>
      <c r="E309">
        <v>302</v>
      </c>
      <c r="F309" s="4">
        <f>(C309+D309)/B309</f>
        <v>15</v>
      </c>
      <c r="G309" s="4">
        <f>C309+D309</f>
        <v>75</v>
      </c>
      <c r="H309" t="s">
        <v>902</v>
      </c>
      <c r="K309" t="s">
        <v>1317</v>
      </c>
      <c r="L309">
        <v>3.5</v>
      </c>
      <c r="M309" s="4">
        <f>L309*7.25</f>
        <v>25.375</v>
      </c>
      <c r="N309" s="4">
        <v>5</v>
      </c>
      <c r="O309">
        <v>0</v>
      </c>
      <c r="P309" s="4">
        <f>(M309+N309)/L309</f>
        <v>8.6785714285714288</v>
      </c>
      <c r="Q309" s="4">
        <f t="shared" si="30"/>
        <v>30.375</v>
      </c>
    </row>
    <row r="310" spans="1:18" ht="15" thickBot="1" x14ac:dyDescent="0.4">
      <c r="B310" s="63">
        <f>SUM(B307:B309)</f>
        <v>20</v>
      </c>
      <c r="C310" s="55">
        <f>SUM(C307:C309)</f>
        <v>225</v>
      </c>
      <c r="D310" s="55">
        <f>SUM(D307:D309)</f>
        <v>147</v>
      </c>
      <c r="E310" s="55">
        <f>SUM(E307:E309)</f>
        <v>302</v>
      </c>
      <c r="F310" s="54">
        <f>(C310+D310)/B310</f>
        <v>18.600000000000001</v>
      </c>
      <c r="G310" s="54">
        <f>C310+D310</f>
        <v>372</v>
      </c>
      <c r="K310" t="s">
        <v>1317</v>
      </c>
      <c r="L310">
        <v>3.5</v>
      </c>
      <c r="M310" s="4">
        <f>L310*10</f>
        <v>35</v>
      </c>
      <c r="N310" s="4">
        <v>45</v>
      </c>
      <c r="O310">
        <v>10</v>
      </c>
      <c r="P310" s="4">
        <f>(M310+N310)/L310</f>
        <v>22.857142857142858</v>
      </c>
      <c r="Q310" s="4">
        <f t="shared" si="30"/>
        <v>80</v>
      </c>
    </row>
    <row r="311" spans="1:18" x14ac:dyDescent="0.35">
      <c r="A311" t="s">
        <v>900</v>
      </c>
      <c r="L311" s="63">
        <f>SUM(L306:L310)</f>
        <v>30</v>
      </c>
      <c r="M311" s="55">
        <f>SUM(M306:M310)</f>
        <v>287.25</v>
      </c>
      <c r="N311" s="55">
        <f>SUM(N306:N310)</f>
        <v>332</v>
      </c>
      <c r="O311" s="55">
        <f>SUM(O306:O310)</f>
        <v>54</v>
      </c>
      <c r="P311" s="55">
        <f>(M311+N311+O311)/L311</f>
        <v>22.441666666666666</v>
      </c>
      <c r="Q311" s="54">
        <f t="shared" si="30"/>
        <v>619.25</v>
      </c>
    </row>
    <row r="312" spans="1:18" x14ac:dyDescent="0.35">
      <c r="A312" t="s">
        <v>903</v>
      </c>
      <c r="B312">
        <v>6.5</v>
      </c>
      <c r="C312" s="4">
        <f>B312*10</f>
        <v>65</v>
      </c>
      <c r="D312" s="4">
        <v>60</v>
      </c>
      <c r="F312" s="4">
        <f>(C312+D312)/B312</f>
        <v>19.23076923076923</v>
      </c>
      <c r="G312" s="4">
        <f>C312+D312</f>
        <v>125</v>
      </c>
      <c r="M312" s="48"/>
      <c r="N312" s="48"/>
      <c r="O312" s="48"/>
      <c r="P312" s="48"/>
      <c r="Q312" s="4"/>
    </row>
    <row r="313" spans="1:18" x14ac:dyDescent="0.35">
      <c r="A313" t="s">
        <v>904</v>
      </c>
      <c r="B313">
        <v>5.5</v>
      </c>
      <c r="C313" s="4">
        <f>B313*15</f>
        <v>82.5</v>
      </c>
      <c r="D313" s="4"/>
      <c r="F313" s="4">
        <f>(C313+D313)/B313</f>
        <v>15</v>
      </c>
      <c r="G313" s="4">
        <f>C313+D313</f>
        <v>82.5</v>
      </c>
      <c r="K313" s="31" t="s">
        <v>325</v>
      </c>
      <c r="L313" s="31">
        <f>L291+L298+L304+L311</f>
        <v>120</v>
      </c>
      <c r="M313" s="11">
        <f>M291+M298+M304+M311</f>
        <v>1099.625</v>
      </c>
      <c r="N313" s="11">
        <f>N291+N298+N304+N311</f>
        <v>1544</v>
      </c>
      <c r="O313" s="11">
        <f>O291+O298+O304+O311</f>
        <v>226</v>
      </c>
      <c r="P313" s="13">
        <f>(M313+N313+O313)/L313</f>
        <v>23.913541666666667</v>
      </c>
      <c r="Q313" s="13">
        <f>M313+N313+O313</f>
        <v>2869.625</v>
      </c>
    </row>
    <row r="314" spans="1:18" x14ac:dyDescent="0.35">
      <c r="A314" t="s">
        <v>905</v>
      </c>
      <c r="B314">
        <v>8.5</v>
      </c>
      <c r="C314" s="4">
        <f>B314*10</f>
        <v>85</v>
      </c>
      <c r="D314" s="4">
        <v>87</v>
      </c>
      <c r="F314" s="4">
        <f>(C314+D314)/B314</f>
        <v>20.235294117647058</v>
      </c>
      <c r="G314" s="4">
        <f>C314+D314</f>
        <v>172</v>
      </c>
      <c r="H314" t="s">
        <v>908</v>
      </c>
      <c r="K314" s="31"/>
      <c r="L314" s="31"/>
      <c r="M314" s="11"/>
      <c r="N314" s="11"/>
      <c r="O314" s="11"/>
      <c r="P314" s="13"/>
      <c r="Q314" s="13"/>
    </row>
    <row r="315" spans="1:18" ht="15" thickBot="1" x14ac:dyDescent="0.4">
      <c r="A315" t="s">
        <v>906</v>
      </c>
      <c r="B315">
        <v>6.5</v>
      </c>
      <c r="C315" s="4">
        <f>B315*5</f>
        <v>32.5</v>
      </c>
      <c r="D315" s="4">
        <v>108</v>
      </c>
      <c r="F315" s="4">
        <f>(C315+D315)/B315</f>
        <v>21.615384615384617</v>
      </c>
      <c r="G315" s="4">
        <f>C315+D315</f>
        <v>140.5</v>
      </c>
      <c r="H315" t="s">
        <v>901</v>
      </c>
      <c r="K315" s="31"/>
      <c r="L315" s="31"/>
      <c r="M315" s="11"/>
      <c r="N315" s="11"/>
      <c r="O315" s="11"/>
      <c r="P315" s="13"/>
      <c r="Q315" s="13"/>
    </row>
    <row r="316" spans="1:18" x14ac:dyDescent="0.35">
      <c r="B316" s="63">
        <f>SUM(B312:B315)</f>
        <v>27</v>
      </c>
      <c r="C316" s="55">
        <f>SUM(C312:C315)</f>
        <v>265</v>
      </c>
      <c r="D316" s="55">
        <f>SUM(D312:D315)</f>
        <v>255</v>
      </c>
      <c r="E316" s="55">
        <f>SUM(E312:E315)</f>
        <v>0</v>
      </c>
      <c r="F316" s="54">
        <f>(C316+D316)/B316</f>
        <v>19.25925925925926</v>
      </c>
      <c r="G316" s="54">
        <f>C316+D316</f>
        <v>520</v>
      </c>
      <c r="K316" s="31" t="s">
        <v>1326</v>
      </c>
    </row>
    <row r="317" spans="1:18" x14ac:dyDescent="0.35">
      <c r="A317" t="s">
        <v>912</v>
      </c>
      <c r="K317" s="61" t="s">
        <v>598</v>
      </c>
      <c r="L317" s="62" t="s">
        <v>593</v>
      </c>
      <c r="M317" s="62" t="s">
        <v>594</v>
      </c>
      <c r="N317" s="62" t="s">
        <v>599</v>
      </c>
      <c r="O317" s="62" t="s">
        <v>600</v>
      </c>
      <c r="P317" s="62" t="s">
        <v>601</v>
      </c>
      <c r="Q317" s="62" t="s">
        <v>325</v>
      </c>
      <c r="R317" s="62" t="s">
        <v>343</v>
      </c>
    </row>
    <row r="318" spans="1:18" x14ac:dyDescent="0.35">
      <c r="A318" t="s">
        <v>913</v>
      </c>
      <c r="B318">
        <v>6.5</v>
      </c>
      <c r="C318" s="4">
        <f>B318*10</f>
        <v>65</v>
      </c>
      <c r="D318" s="4">
        <v>59</v>
      </c>
      <c r="F318" s="4">
        <f>(C318+D318)/B318</f>
        <v>19.076923076923077</v>
      </c>
      <c r="G318" s="4">
        <f>C318+D318</f>
        <v>124</v>
      </c>
      <c r="H318" t="s">
        <v>916</v>
      </c>
      <c r="K318" s="31" t="s">
        <v>1333</v>
      </c>
    </row>
    <row r="319" spans="1:18" x14ac:dyDescent="0.35">
      <c r="A319" t="s">
        <v>914</v>
      </c>
      <c r="B319">
        <v>7.5</v>
      </c>
      <c r="C319" s="4">
        <f>B319*10</f>
        <v>75</v>
      </c>
      <c r="D319" s="4">
        <v>80</v>
      </c>
      <c r="F319" s="4">
        <f>(C319+D319)/B319</f>
        <v>20.666666666666668</v>
      </c>
      <c r="G319" s="4">
        <f>C319+D319</f>
        <v>155</v>
      </c>
      <c r="H319" t="s">
        <v>908</v>
      </c>
      <c r="K319" t="s">
        <v>1324</v>
      </c>
      <c r="L319">
        <v>6.5</v>
      </c>
      <c r="M319" s="4">
        <f>L319*7.25</f>
        <v>47.125</v>
      </c>
      <c r="N319" s="4">
        <v>75</v>
      </c>
      <c r="P319" s="4">
        <f>(M319+N319)/L319</f>
        <v>18.78846153846154</v>
      </c>
      <c r="Q319" s="4">
        <f>M319+N319</f>
        <v>122.125</v>
      </c>
    </row>
    <row r="320" spans="1:18" x14ac:dyDescent="0.35">
      <c r="A320" t="s">
        <v>915</v>
      </c>
      <c r="B320">
        <v>6.5</v>
      </c>
      <c r="C320" s="4">
        <f>B320*15</f>
        <v>97.5</v>
      </c>
      <c r="D320" s="4"/>
      <c r="F320" s="4">
        <f>(C320+D320)/B320</f>
        <v>15</v>
      </c>
      <c r="G320" s="4">
        <f>C320+D320</f>
        <v>97.5</v>
      </c>
      <c r="K320" t="s">
        <v>1323</v>
      </c>
      <c r="L320">
        <v>6.5</v>
      </c>
      <c r="M320" s="4">
        <f>L320*16.5</f>
        <v>107.25</v>
      </c>
      <c r="N320" s="4"/>
      <c r="P320" s="4">
        <f>(M320+N320)/L320</f>
        <v>16.5</v>
      </c>
      <c r="Q320" s="4">
        <f>M320+N320</f>
        <v>107.25</v>
      </c>
    </row>
    <row r="321" spans="1:18" ht="15" thickBot="1" x14ac:dyDescent="0.4">
      <c r="A321" t="s">
        <v>917</v>
      </c>
      <c r="B321">
        <v>7</v>
      </c>
      <c r="C321" s="4">
        <f>B321*10</f>
        <v>70</v>
      </c>
      <c r="D321" s="4">
        <v>136</v>
      </c>
      <c r="F321" s="4">
        <f>(C321+D321)/B321</f>
        <v>29.428571428571427</v>
      </c>
      <c r="G321" s="4">
        <f>C321+D321</f>
        <v>206</v>
      </c>
      <c r="K321" t="s">
        <v>1325</v>
      </c>
      <c r="L321">
        <v>6.5</v>
      </c>
      <c r="M321" s="4">
        <f>L321*7.25</f>
        <v>47.125</v>
      </c>
      <c r="N321" s="4">
        <v>82</v>
      </c>
      <c r="O321">
        <v>45</v>
      </c>
      <c r="P321" s="4">
        <f>(M321+N321)/L321</f>
        <v>19.865384615384617</v>
      </c>
      <c r="Q321" s="4">
        <f>M321+N321</f>
        <v>129.125</v>
      </c>
    </row>
    <row r="322" spans="1:18" x14ac:dyDescent="0.35">
      <c r="B322" s="63">
        <f>SUM(B318:B321)</f>
        <v>27.5</v>
      </c>
      <c r="C322" s="55">
        <f>SUM(C318:C321)</f>
        <v>307.5</v>
      </c>
      <c r="D322" s="55">
        <f>SUM(D318:D321)</f>
        <v>275</v>
      </c>
      <c r="E322" s="55">
        <f>SUM(E318:E321)</f>
        <v>0</v>
      </c>
      <c r="F322" s="54">
        <f>(C322+D322)/B322</f>
        <v>21.181818181818183</v>
      </c>
      <c r="G322" s="54">
        <f>C322+D322</f>
        <v>582.5</v>
      </c>
      <c r="L322" s="63">
        <f>SUM(L319:L321)</f>
        <v>19.5</v>
      </c>
      <c r="M322" s="55">
        <f>SUM(M319:M321)</f>
        <v>201.5</v>
      </c>
      <c r="N322" s="55">
        <f>SUM(N319:N321)</f>
        <v>157</v>
      </c>
      <c r="O322" s="55">
        <f>SUM(O319:O321)</f>
        <v>45</v>
      </c>
      <c r="P322" s="55">
        <f>(M322+N322+O322)/L322</f>
        <v>20.692307692307693</v>
      </c>
      <c r="Q322" s="54">
        <f>M322+N322</f>
        <v>358.5</v>
      </c>
    </row>
    <row r="323" spans="1:18" x14ac:dyDescent="0.35">
      <c r="C323" s="48"/>
      <c r="D323" s="48"/>
      <c r="E323" s="48"/>
      <c r="F323" s="4"/>
      <c r="G323" s="4"/>
      <c r="K323" s="31" t="s">
        <v>1334</v>
      </c>
    </row>
    <row r="324" spans="1:18" x14ac:dyDescent="0.35">
      <c r="A324" s="31" t="s">
        <v>325</v>
      </c>
      <c r="B324" s="31">
        <f>B305+B310+B316+B322</f>
        <v>75.5</v>
      </c>
      <c r="C324" s="13">
        <f>C305+C310+C316+C322</f>
        <v>807.5</v>
      </c>
      <c r="D324" s="13">
        <f>D305+D310+D316+D322</f>
        <v>677</v>
      </c>
      <c r="E324" s="13">
        <f>E305+E310+E316+E322</f>
        <v>302</v>
      </c>
      <c r="F324" s="13">
        <f>(C324+D324+E324)/B324</f>
        <v>23.662251655629138</v>
      </c>
      <c r="G324" s="13">
        <f>C324+D324+E324</f>
        <v>1786.5</v>
      </c>
      <c r="K324" t="s">
        <v>1327</v>
      </c>
      <c r="L324">
        <v>7.5</v>
      </c>
      <c r="M324" s="4">
        <f>L324*7.25</f>
        <v>54.375</v>
      </c>
      <c r="N324" s="4">
        <v>113</v>
      </c>
      <c r="P324" s="4">
        <f>(M324+N324)/L324</f>
        <v>22.316666666666666</v>
      </c>
      <c r="Q324" s="4">
        <f>M324+N324</f>
        <v>167.375</v>
      </c>
    </row>
    <row r="325" spans="1:18" x14ac:dyDescent="0.35">
      <c r="K325" t="s">
        <v>1328</v>
      </c>
      <c r="L325">
        <v>5.5</v>
      </c>
      <c r="M325" s="4">
        <f>L325*16.5</f>
        <v>90.75</v>
      </c>
      <c r="N325" s="4"/>
      <c r="P325" s="4">
        <f>(M325+N325)/L325</f>
        <v>16.5</v>
      </c>
      <c r="Q325" s="4">
        <f>M325+N325</f>
        <v>90.75</v>
      </c>
    </row>
    <row r="326" spans="1:18" x14ac:dyDescent="0.35">
      <c r="K326" t="s">
        <v>1329</v>
      </c>
      <c r="L326">
        <v>6.5</v>
      </c>
      <c r="M326" s="4">
        <f>L326*16.5</f>
        <v>107.25</v>
      </c>
      <c r="N326" s="4"/>
      <c r="P326" s="4">
        <f>(M326+N326)/L326</f>
        <v>16.5</v>
      </c>
      <c r="Q326" s="4">
        <f>M326+N326</f>
        <v>107.25</v>
      </c>
    </row>
    <row r="327" spans="1:18" ht="15" thickBot="1" x14ac:dyDescent="0.4">
      <c r="A327" s="31" t="s">
        <v>936</v>
      </c>
      <c r="C327" t="s">
        <v>596</v>
      </c>
      <c r="E327" t="s">
        <v>582</v>
      </c>
      <c r="K327" t="s">
        <v>1335</v>
      </c>
      <c r="L327">
        <v>7</v>
      </c>
      <c r="M327" s="4">
        <f>L327*10</f>
        <v>70</v>
      </c>
      <c r="N327" s="4">
        <v>128</v>
      </c>
      <c r="P327" s="4">
        <f>(M327+N327)/L327</f>
        <v>28.285714285714285</v>
      </c>
      <c r="Q327" s="4">
        <f>M327+N327</f>
        <v>198</v>
      </c>
    </row>
    <row r="328" spans="1:18" x14ac:dyDescent="0.35">
      <c r="A328" s="61" t="s">
        <v>598</v>
      </c>
      <c r="B328" s="62" t="s">
        <v>593</v>
      </c>
      <c r="C328" s="62" t="s">
        <v>594</v>
      </c>
      <c r="D328" s="62" t="s">
        <v>599</v>
      </c>
      <c r="E328" s="62" t="s">
        <v>600</v>
      </c>
      <c r="F328" s="62" t="s">
        <v>601</v>
      </c>
      <c r="G328" s="62" t="s">
        <v>325</v>
      </c>
      <c r="H328" s="62" t="s">
        <v>343</v>
      </c>
      <c r="L328" s="63">
        <f>SUM(L324:L327)</f>
        <v>26.5</v>
      </c>
      <c r="M328" s="55">
        <f>SUM(M324:M327)</f>
        <v>322.375</v>
      </c>
      <c r="N328" s="55">
        <f>SUM(N324:N327)</f>
        <v>241</v>
      </c>
      <c r="O328" s="55">
        <f>SUM(O324:O327)</f>
        <v>0</v>
      </c>
      <c r="P328" s="55">
        <f>(M328+N328+O328)/L328</f>
        <v>21.259433962264151</v>
      </c>
      <c r="Q328" s="54">
        <f>M328+N328</f>
        <v>563.375</v>
      </c>
    </row>
    <row r="329" spans="1:18" x14ac:dyDescent="0.35">
      <c r="A329" t="s">
        <v>920</v>
      </c>
      <c r="K329" s="31" t="s">
        <v>1338</v>
      </c>
    </row>
    <row r="330" spans="1:18" x14ac:dyDescent="0.35">
      <c r="A330" t="s">
        <v>921</v>
      </c>
      <c r="B330">
        <v>6.5</v>
      </c>
      <c r="C330" s="4">
        <f>B330*10</f>
        <v>65</v>
      </c>
      <c r="D330" s="4">
        <v>78</v>
      </c>
      <c r="F330" s="4">
        <f>(C330+D330)/B330</f>
        <v>22</v>
      </c>
      <c r="G330" s="4">
        <f>C330+D330</f>
        <v>143</v>
      </c>
      <c r="H330" t="s">
        <v>925</v>
      </c>
      <c r="K330" t="s">
        <v>1330</v>
      </c>
      <c r="L330">
        <v>7.5</v>
      </c>
      <c r="M330" s="4">
        <f>L330*7.25</f>
        <v>54.375</v>
      </c>
      <c r="N330" s="4">
        <v>135</v>
      </c>
      <c r="P330" s="4">
        <f>(M330+N330)/L330</f>
        <v>25.25</v>
      </c>
      <c r="Q330" s="4">
        <f t="shared" ref="Q330:Q335" si="31">M330+N330</f>
        <v>189.375</v>
      </c>
      <c r="R330" t="s">
        <v>1344</v>
      </c>
    </row>
    <row r="331" spans="1:18" x14ac:dyDescent="0.35">
      <c r="A331" t="s">
        <v>922</v>
      </c>
      <c r="B331">
        <v>6.5</v>
      </c>
      <c r="C331" s="4">
        <f>B331*10</f>
        <v>65</v>
      </c>
      <c r="D331" s="4">
        <v>52</v>
      </c>
      <c r="E331">
        <v>236</v>
      </c>
      <c r="F331" s="4">
        <f>(C331+D331)/B331</f>
        <v>18</v>
      </c>
      <c r="G331" s="4">
        <f>C331+D331</f>
        <v>117</v>
      </c>
      <c r="H331" t="s">
        <v>924</v>
      </c>
      <c r="K331" t="s">
        <v>1331</v>
      </c>
      <c r="L331">
        <v>6</v>
      </c>
      <c r="M331" s="4">
        <f>L331*16.5</f>
        <v>99</v>
      </c>
      <c r="N331" s="4"/>
      <c r="P331" s="4">
        <f>(M331+N331)/L331</f>
        <v>16.5</v>
      </c>
      <c r="Q331" s="4">
        <f t="shared" si="31"/>
        <v>99</v>
      </c>
    </row>
    <row r="332" spans="1:18" ht="15" thickBot="1" x14ac:dyDescent="0.4">
      <c r="A332" t="s">
        <v>923</v>
      </c>
      <c r="B332">
        <v>9</v>
      </c>
      <c r="C332" s="4">
        <f>B332*10</f>
        <v>90</v>
      </c>
      <c r="D332" s="4">
        <v>124</v>
      </c>
      <c r="F332" s="4">
        <f>(C332+D332)/B332</f>
        <v>23.777777777777779</v>
      </c>
      <c r="G332" s="4">
        <f>C332+D332</f>
        <v>214</v>
      </c>
      <c r="K332" t="s">
        <v>1332</v>
      </c>
      <c r="L332">
        <v>6.5</v>
      </c>
      <c r="M332" s="4">
        <f>L332*16.5</f>
        <v>107.25</v>
      </c>
      <c r="N332" s="4"/>
      <c r="P332" s="4">
        <f>(M332+N332)/L332</f>
        <v>16.5</v>
      </c>
      <c r="Q332" s="4">
        <f t="shared" si="31"/>
        <v>107.25</v>
      </c>
    </row>
    <row r="333" spans="1:18" x14ac:dyDescent="0.35">
      <c r="B333" s="63">
        <f>SUM(B330:B332)</f>
        <v>22</v>
      </c>
      <c r="C333" s="55">
        <f>SUM(C330:C332)</f>
        <v>220</v>
      </c>
      <c r="D333" s="55">
        <f>SUM(D330:D332)</f>
        <v>254</v>
      </c>
      <c r="E333" s="55">
        <f>SUM(E330:E332)</f>
        <v>236</v>
      </c>
      <c r="F333" s="54">
        <f>(C333+D333)/B333</f>
        <v>21.545454545454547</v>
      </c>
      <c r="G333" s="54">
        <f>C333+D333</f>
        <v>474</v>
      </c>
      <c r="K333" t="s">
        <v>1336</v>
      </c>
      <c r="L333">
        <v>9.5</v>
      </c>
      <c r="M333" s="4">
        <f>L333*7.25</f>
        <v>68.875</v>
      </c>
      <c r="N333" s="4">
        <v>200</v>
      </c>
      <c r="O333">
        <v>36</v>
      </c>
      <c r="P333" s="4">
        <f>(M333+N333)/L333</f>
        <v>28.30263157894737</v>
      </c>
      <c r="Q333" s="4">
        <f t="shared" si="31"/>
        <v>268.875</v>
      </c>
    </row>
    <row r="334" spans="1:18" ht="15" thickBot="1" x14ac:dyDescent="0.4">
      <c r="A334" t="s">
        <v>926</v>
      </c>
      <c r="K334" t="s">
        <v>1337</v>
      </c>
      <c r="L334">
        <v>7</v>
      </c>
      <c r="M334" s="4">
        <f>L334*7.25</f>
        <v>50.75</v>
      </c>
      <c r="N334" s="4">
        <v>133</v>
      </c>
      <c r="P334" s="4">
        <f>(M334+N334)/L334</f>
        <v>26.25</v>
      </c>
      <c r="Q334" s="4">
        <f t="shared" si="31"/>
        <v>183.75</v>
      </c>
    </row>
    <row r="335" spans="1:18" x14ac:dyDescent="0.35">
      <c r="A335" t="s">
        <v>927</v>
      </c>
      <c r="B335">
        <v>6</v>
      </c>
      <c r="C335" s="4">
        <f>B335*10</f>
        <v>60</v>
      </c>
      <c r="D335" s="4">
        <v>61</v>
      </c>
      <c r="F335" s="4">
        <f>(C335+D335)/B335</f>
        <v>20.166666666666668</v>
      </c>
      <c r="G335" s="4">
        <f>C335+D335</f>
        <v>121</v>
      </c>
      <c r="L335" s="63">
        <f>SUM(L330:L334)</f>
        <v>36.5</v>
      </c>
      <c r="M335" s="55">
        <f>SUM(M330:M334)</f>
        <v>380.25</v>
      </c>
      <c r="N335" s="55">
        <f>SUM(N330:N334)</f>
        <v>468</v>
      </c>
      <c r="O335" s="55">
        <f>SUM(O330:O334)</f>
        <v>36</v>
      </c>
      <c r="P335" s="55">
        <f>(M335+N335+O335)/L335</f>
        <v>24.226027397260275</v>
      </c>
      <c r="Q335" s="54">
        <f t="shared" si="31"/>
        <v>848.25</v>
      </c>
    </row>
    <row r="336" spans="1:18" x14ac:dyDescent="0.35">
      <c r="A336" t="s">
        <v>928</v>
      </c>
      <c r="B336">
        <v>10</v>
      </c>
      <c r="C336" s="4">
        <f>B336*10</f>
        <v>100</v>
      </c>
      <c r="D336" s="4">
        <v>161</v>
      </c>
      <c r="F336" s="4">
        <f>(C336+D336)/B336</f>
        <v>26.1</v>
      </c>
      <c r="G336" s="4">
        <f>C336+D336</f>
        <v>261</v>
      </c>
      <c r="K336" s="31" t="s">
        <v>1339</v>
      </c>
    </row>
    <row r="337" spans="1:18" ht="15" thickBot="1" x14ac:dyDescent="0.4">
      <c r="A337" t="s">
        <v>929</v>
      </c>
      <c r="B337">
        <v>7.5</v>
      </c>
      <c r="C337" s="4">
        <f>(5*10)+(2.5*5)</f>
        <v>62.5</v>
      </c>
      <c r="D337" s="4">
        <v>103</v>
      </c>
      <c r="F337" s="4">
        <f>(C337+D337)/B337</f>
        <v>22.066666666666666</v>
      </c>
      <c r="G337" s="4">
        <f>C337+D337</f>
        <v>165.5</v>
      </c>
      <c r="K337" t="s">
        <v>1340</v>
      </c>
      <c r="L337">
        <v>6.5</v>
      </c>
      <c r="M337" s="4">
        <f>L337*7.25</f>
        <v>47.125</v>
      </c>
      <c r="N337" s="4">
        <v>90</v>
      </c>
      <c r="O337">
        <v>40</v>
      </c>
      <c r="P337" s="4">
        <f>(M337+N337)/L337</f>
        <v>21.096153846153847</v>
      </c>
      <c r="Q337" s="4">
        <f>M337+N337</f>
        <v>137.125</v>
      </c>
    </row>
    <row r="338" spans="1:18" x14ac:dyDescent="0.35">
      <c r="B338" s="63">
        <f>SUM(B335:B337)</f>
        <v>23.5</v>
      </c>
      <c r="C338" s="55">
        <f>SUM(C335:C337)</f>
        <v>222.5</v>
      </c>
      <c r="D338" s="55">
        <f>SUM(D335:D337)</f>
        <v>325</v>
      </c>
      <c r="E338" s="55">
        <f>SUM(E335:E337)</f>
        <v>0</v>
      </c>
      <c r="F338" s="54">
        <f>(C338+D338)/B338</f>
        <v>23.297872340425531</v>
      </c>
      <c r="G338" s="54">
        <f>C338+D338</f>
        <v>547.5</v>
      </c>
      <c r="K338" t="s">
        <v>1341</v>
      </c>
      <c r="L338">
        <v>7</v>
      </c>
      <c r="M338" s="4">
        <f>L338*16.5</f>
        <v>115.5</v>
      </c>
      <c r="N338" s="4"/>
      <c r="P338" s="4">
        <f>(M338+N338)/L338</f>
        <v>16.5</v>
      </c>
      <c r="Q338" s="4">
        <f>M338+N338</f>
        <v>115.5</v>
      </c>
    </row>
    <row r="339" spans="1:18" ht="15" thickBot="1" x14ac:dyDescent="0.4">
      <c r="A339" t="s">
        <v>937</v>
      </c>
      <c r="K339" t="s">
        <v>1342</v>
      </c>
      <c r="L339">
        <v>6.5</v>
      </c>
      <c r="M339" s="4">
        <f>L339*10</f>
        <v>65</v>
      </c>
      <c r="N339" s="4">
        <v>80</v>
      </c>
      <c r="O339">
        <v>48</v>
      </c>
      <c r="P339" s="4">
        <f>(M339+N339)/L339</f>
        <v>22.307692307692307</v>
      </c>
      <c r="Q339" s="4">
        <f>M339+N339</f>
        <v>145</v>
      </c>
    </row>
    <row r="340" spans="1:18" x14ac:dyDescent="0.35">
      <c r="A340" t="s">
        <v>933</v>
      </c>
      <c r="B340">
        <v>7.5</v>
      </c>
      <c r="C340" s="4">
        <f>B340*10</f>
        <v>75</v>
      </c>
      <c r="D340" s="4">
        <v>150</v>
      </c>
      <c r="F340" s="4">
        <f>(C340+D340)/B340</f>
        <v>30</v>
      </c>
      <c r="G340" s="4">
        <f>C340+D340</f>
        <v>225</v>
      </c>
      <c r="H340" t="s">
        <v>925</v>
      </c>
      <c r="L340" s="63">
        <f>SUM(L337:L339)</f>
        <v>20</v>
      </c>
      <c r="M340" s="55">
        <f>SUM(M337:M339)</f>
        <v>227.625</v>
      </c>
      <c r="N340" s="55">
        <f>SUM(N337:N339)</f>
        <v>170</v>
      </c>
      <c r="O340" s="55">
        <f>SUM(O337:O339)</f>
        <v>88</v>
      </c>
      <c r="P340" s="55">
        <f>(M340+N340+O340)/L340</f>
        <v>24.28125</v>
      </c>
      <c r="Q340" s="54">
        <f>M340+N340</f>
        <v>397.625</v>
      </c>
    </row>
    <row r="341" spans="1:18" ht="15" thickBot="1" x14ac:dyDescent="0.4">
      <c r="A341" t="s">
        <v>934</v>
      </c>
      <c r="B341">
        <v>7</v>
      </c>
      <c r="C341" s="4">
        <f>B341*10</f>
        <v>70</v>
      </c>
      <c r="D341" s="4">
        <v>129</v>
      </c>
      <c r="F341" s="4">
        <f>(C341+D341)/B341</f>
        <v>28.428571428571427</v>
      </c>
      <c r="G341" s="4">
        <f>C341+D341</f>
        <v>199</v>
      </c>
      <c r="M341" s="48"/>
      <c r="N341" s="48"/>
      <c r="O341" s="48"/>
      <c r="P341" s="48"/>
      <c r="Q341" s="4"/>
    </row>
    <row r="342" spans="1:18" x14ac:dyDescent="0.35">
      <c r="B342" s="63">
        <f>SUM(B340:B341)</f>
        <v>14.5</v>
      </c>
      <c r="C342" s="55">
        <f>SUM(C340:C341)</f>
        <v>145</v>
      </c>
      <c r="D342" s="55">
        <f>SUM(D340:D341)</f>
        <v>279</v>
      </c>
      <c r="E342" s="55">
        <f>SUM(E340:E341)</f>
        <v>0</v>
      </c>
      <c r="F342" s="54">
        <f>(C342+D342)/B342</f>
        <v>29.241379310344829</v>
      </c>
      <c r="G342" s="54">
        <f>C342+D342</f>
        <v>424</v>
      </c>
      <c r="M342" s="48"/>
      <c r="N342" s="48"/>
      <c r="O342" s="48"/>
      <c r="P342" s="48"/>
      <c r="Q342" s="4"/>
    </row>
    <row r="343" spans="1:18" x14ac:dyDescent="0.35">
      <c r="A343" t="s">
        <v>938</v>
      </c>
      <c r="K343" s="31" t="s">
        <v>325</v>
      </c>
      <c r="L343" s="31">
        <f>L322+L328+L335+L340</f>
        <v>102.5</v>
      </c>
      <c r="M343" s="11">
        <f>M322+M328+M335+M340</f>
        <v>1131.75</v>
      </c>
      <c r="N343" s="11">
        <f>N322+N328+N335+N340</f>
        <v>1036</v>
      </c>
      <c r="O343" s="11">
        <f>O322+O328+O335+O340</f>
        <v>169</v>
      </c>
      <c r="P343" s="13">
        <f>(M343+N343+O343)/L343</f>
        <v>22.797560975609755</v>
      </c>
      <c r="Q343" s="13">
        <f>M343+N343+O343</f>
        <v>2336.75</v>
      </c>
    </row>
    <row r="344" spans="1:18" x14ac:dyDescent="0.35">
      <c r="A344" t="s">
        <v>939</v>
      </c>
      <c r="B344">
        <v>6.5</v>
      </c>
      <c r="C344" s="4">
        <f>B344*10</f>
        <v>65</v>
      </c>
      <c r="D344" s="4">
        <v>63</v>
      </c>
      <c r="E344">
        <v>279</v>
      </c>
      <c r="F344" s="4">
        <f>(C344+D344)/B344</f>
        <v>19.692307692307693</v>
      </c>
      <c r="G344" s="4">
        <f>C344+D344</f>
        <v>128</v>
      </c>
      <c r="H344" t="s">
        <v>924</v>
      </c>
      <c r="K344" s="31"/>
      <c r="L344" s="31"/>
      <c r="M344" s="11"/>
      <c r="N344" s="11"/>
      <c r="O344" s="11"/>
      <c r="P344" s="13"/>
      <c r="Q344" s="13"/>
    </row>
    <row r="345" spans="1:18" x14ac:dyDescent="0.35">
      <c r="A345" t="s">
        <v>940</v>
      </c>
      <c r="B345">
        <v>7</v>
      </c>
      <c r="C345" s="4">
        <f>B345*10</f>
        <v>70</v>
      </c>
      <c r="D345" s="4">
        <v>57</v>
      </c>
      <c r="F345" s="4">
        <f>(C345+D345)/B345</f>
        <v>18.142857142857142</v>
      </c>
      <c r="G345" s="4">
        <f>C345+D345</f>
        <v>127</v>
      </c>
      <c r="K345" s="31"/>
      <c r="L345" s="31"/>
      <c r="M345" s="11"/>
      <c r="N345" s="11"/>
      <c r="O345" s="11"/>
      <c r="P345" s="13"/>
      <c r="Q345" s="13"/>
    </row>
    <row r="346" spans="1:18" x14ac:dyDescent="0.35">
      <c r="A346" t="s">
        <v>941</v>
      </c>
      <c r="B346">
        <v>6.5</v>
      </c>
      <c r="C346" s="4">
        <f>B346*15</f>
        <v>97.5</v>
      </c>
      <c r="D346" s="4"/>
      <c r="F346" s="4">
        <f>(C346+D346)/B346</f>
        <v>15</v>
      </c>
      <c r="G346" s="4">
        <f>C346+D346</f>
        <v>97.5</v>
      </c>
      <c r="K346" s="31" t="s">
        <v>1345</v>
      </c>
    </row>
    <row r="347" spans="1:18" ht="15" thickBot="1" x14ac:dyDescent="0.4">
      <c r="A347" t="s">
        <v>942</v>
      </c>
      <c r="B347">
        <v>7.5</v>
      </c>
      <c r="C347" s="4">
        <f>B347*5</f>
        <v>37.5</v>
      </c>
      <c r="D347" s="4">
        <v>165</v>
      </c>
      <c r="F347" s="4">
        <f>(C347+D347)/B347</f>
        <v>27</v>
      </c>
      <c r="G347" s="4">
        <f>C347+D347</f>
        <v>202.5</v>
      </c>
      <c r="K347" s="61" t="s">
        <v>598</v>
      </c>
      <c r="L347" s="62" t="s">
        <v>593</v>
      </c>
      <c r="M347" s="62" t="s">
        <v>594</v>
      </c>
      <c r="N347" s="62" t="s">
        <v>599</v>
      </c>
      <c r="O347" s="62" t="s">
        <v>600</v>
      </c>
      <c r="P347" s="62" t="s">
        <v>601</v>
      </c>
      <c r="Q347" s="62" t="s">
        <v>325</v>
      </c>
      <c r="R347" s="62" t="s">
        <v>343</v>
      </c>
    </row>
    <row r="348" spans="1:18" x14ac:dyDescent="0.35">
      <c r="B348" s="63">
        <f>SUM(B344:B347)</f>
        <v>27.5</v>
      </c>
      <c r="C348" s="55">
        <f>SUM(C344:C347)</f>
        <v>270</v>
      </c>
      <c r="D348" s="55">
        <f>SUM(D344:D347)</f>
        <v>285</v>
      </c>
      <c r="E348" s="55">
        <f>SUM(E344:E347)</f>
        <v>279</v>
      </c>
      <c r="F348" s="54">
        <f>(C348+D348)/B348</f>
        <v>20.181818181818183</v>
      </c>
      <c r="G348" s="54">
        <f>C348+D348</f>
        <v>555</v>
      </c>
      <c r="K348" s="31" t="s">
        <v>1343</v>
      </c>
    </row>
    <row r="349" spans="1:18" x14ac:dyDescent="0.35">
      <c r="C349" s="48"/>
      <c r="D349" s="48"/>
      <c r="E349" s="48"/>
      <c r="F349" s="4"/>
      <c r="G349" s="4"/>
      <c r="K349" t="s">
        <v>1347</v>
      </c>
      <c r="L349">
        <v>6.5</v>
      </c>
      <c r="M349" s="4">
        <f>L349*7.25</f>
        <v>47.125</v>
      </c>
      <c r="N349" s="4">
        <v>104</v>
      </c>
      <c r="O349">
        <v>20</v>
      </c>
      <c r="P349" s="4">
        <f>(M349+N349)/L349</f>
        <v>23.25</v>
      </c>
      <c r="Q349" s="4">
        <f>M349+N349</f>
        <v>151.125</v>
      </c>
      <c r="R349" t="s">
        <v>1344</v>
      </c>
    </row>
    <row r="350" spans="1:18" x14ac:dyDescent="0.35">
      <c r="A350" s="31" t="s">
        <v>325</v>
      </c>
      <c r="B350" s="31">
        <f>B333+B338+B342+B348</f>
        <v>87.5</v>
      </c>
      <c r="C350" s="13">
        <f>C333+C338+C342+C348</f>
        <v>857.5</v>
      </c>
      <c r="D350" s="13">
        <f>D333+D338+D342+D348</f>
        <v>1143</v>
      </c>
      <c r="E350" s="13">
        <f>E333+E338+E342+E348</f>
        <v>515</v>
      </c>
      <c r="F350" s="60">
        <f>(C350+D350+E350)/B350</f>
        <v>28.748571428571427</v>
      </c>
      <c r="G350" s="13">
        <f>C350+D350+E350</f>
        <v>2515.5</v>
      </c>
      <c r="K350" t="s">
        <v>1348</v>
      </c>
      <c r="L350">
        <v>7</v>
      </c>
      <c r="M350" s="4">
        <f>L350*16.5</f>
        <v>115.5</v>
      </c>
      <c r="N350" s="4"/>
      <c r="P350" s="4">
        <f>(M350+N350)/L350</f>
        <v>16.5</v>
      </c>
      <c r="Q350" s="4">
        <f>M350+N350</f>
        <v>115.5</v>
      </c>
    </row>
    <row r="351" spans="1:18" ht="15" thickBot="1" x14ac:dyDescent="0.4">
      <c r="K351" t="s">
        <v>1346</v>
      </c>
      <c r="L351">
        <v>9</v>
      </c>
      <c r="M351" s="4">
        <f>L351*7.25</f>
        <v>65.25</v>
      </c>
      <c r="N351" s="4">
        <v>150</v>
      </c>
      <c r="O351">
        <v>58</v>
      </c>
      <c r="P351" s="4">
        <f>(M351+N351)/L351</f>
        <v>23.916666666666668</v>
      </c>
      <c r="Q351" s="4">
        <f>M351+N351</f>
        <v>215.25</v>
      </c>
    </row>
    <row r="352" spans="1:18" x14ac:dyDescent="0.35">
      <c r="L352" s="63">
        <f>SUM(L349:L351)</f>
        <v>22.5</v>
      </c>
      <c r="M352" s="55">
        <f>SUM(M349:M351)</f>
        <v>227.875</v>
      </c>
      <c r="N352" s="55">
        <f>SUM(N349:N351)</f>
        <v>254</v>
      </c>
      <c r="O352" s="55">
        <f>SUM(O349:O351)</f>
        <v>78</v>
      </c>
      <c r="P352" s="55">
        <f>(M352+N352+O352)/L352</f>
        <v>24.883333333333333</v>
      </c>
      <c r="Q352" s="54">
        <f>M352+N352</f>
        <v>481.875</v>
      </c>
    </row>
    <row r="353" spans="11:17" x14ac:dyDescent="0.35">
      <c r="K353" s="31" t="s">
        <v>1349</v>
      </c>
    </row>
    <row r="354" spans="11:17" x14ac:dyDescent="0.35">
      <c r="K354" t="s">
        <v>1350</v>
      </c>
      <c r="L354">
        <v>2.5</v>
      </c>
      <c r="M354" s="4">
        <f>L354*10</f>
        <v>25</v>
      </c>
      <c r="N354" s="4"/>
      <c r="P354" s="4">
        <f>(M354+N354)/L354</f>
        <v>10</v>
      </c>
      <c r="Q354" s="4">
        <f>M354+N354</f>
        <v>25</v>
      </c>
    </row>
    <row r="355" spans="11:17" x14ac:dyDescent="0.35">
      <c r="K355" t="s">
        <v>1351</v>
      </c>
      <c r="L355">
        <v>7.5</v>
      </c>
      <c r="M355" s="4">
        <f>L355*7.25</f>
        <v>54.375</v>
      </c>
      <c r="N355" s="4">
        <v>130</v>
      </c>
      <c r="O355">
        <v>28</v>
      </c>
      <c r="P355" s="4">
        <f>(M355+N355)/L355</f>
        <v>24.583333333333332</v>
      </c>
      <c r="Q355" s="4">
        <f>M355+N355</f>
        <v>184.375</v>
      </c>
    </row>
    <row r="356" spans="11:17" x14ac:dyDescent="0.35">
      <c r="K356" t="s">
        <v>1352</v>
      </c>
      <c r="L356">
        <v>6.5</v>
      </c>
      <c r="M356" s="4">
        <f>L356*16.5</f>
        <v>107.25</v>
      </c>
      <c r="N356" s="4"/>
      <c r="P356" s="4">
        <f>(M356+N356)/L356</f>
        <v>16.5</v>
      </c>
      <c r="Q356" s="4">
        <f>M356+N356</f>
        <v>107.25</v>
      </c>
    </row>
    <row r="357" spans="11:17" ht="15" thickBot="1" x14ac:dyDescent="0.4">
      <c r="K357" t="s">
        <v>1353</v>
      </c>
      <c r="L357">
        <v>5</v>
      </c>
      <c r="M357" s="4">
        <f>L357*10</f>
        <v>50</v>
      </c>
      <c r="N357" s="4">
        <v>38</v>
      </c>
      <c r="P357" s="4">
        <f>(M357+N357)/L357</f>
        <v>17.600000000000001</v>
      </c>
      <c r="Q357" s="4">
        <f>M357+N357</f>
        <v>88</v>
      </c>
    </row>
    <row r="358" spans="11:17" x14ac:dyDescent="0.35">
      <c r="L358" s="63">
        <f>SUM(L354:L357)</f>
        <v>21.5</v>
      </c>
      <c r="M358" s="55">
        <f>SUM(M354:M357)</f>
        <v>236.625</v>
      </c>
      <c r="N358" s="55">
        <f>SUM(N354:N357)</f>
        <v>168</v>
      </c>
      <c r="O358" s="55">
        <f>SUM(O354:O357)</f>
        <v>28</v>
      </c>
      <c r="P358" s="55">
        <f>(M358+N358+O358)/L358</f>
        <v>20.122093023255815</v>
      </c>
      <c r="Q358" s="54">
        <f>M358+N358</f>
        <v>404.625</v>
      </c>
    </row>
    <row r="359" spans="11:17" x14ac:dyDescent="0.35">
      <c r="K359" s="31" t="s">
        <v>1356</v>
      </c>
    </row>
    <row r="360" spans="11:17" x14ac:dyDescent="0.35">
      <c r="K360" t="s">
        <v>1354</v>
      </c>
      <c r="L360">
        <v>6</v>
      </c>
      <c r="M360" s="4">
        <f>L360*10</f>
        <v>60</v>
      </c>
      <c r="N360" s="4"/>
      <c r="P360" s="4">
        <f>(M360+N360)/L360</f>
        <v>10</v>
      </c>
      <c r="Q360" s="4">
        <f>M360+N360</f>
        <v>60</v>
      </c>
    </row>
    <row r="361" spans="11:17" x14ac:dyDescent="0.35">
      <c r="K361" t="s">
        <v>1355</v>
      </c>
      <c r="L361">
        <v>7</v>
      </c>
      <c r="M361" s="4">
        <f>L361*7.25</f>
        <v>50.75</v>
      </c>
      <c r="N361" s="4"/>
      <c r="O361">
        <v>28</v>
      </c>
      <c r="P361" s="4">
        <f>(M361+N361)/L361</f>
        <v>7.25</v>
      </c>
      <c r="Q361" s="4">
        <f>M361+N361</f>
        <v>50.75</v>
      </c>
    </row>
    <row r="362" spans="11:17" x14ac:dyDescent="0.35">
      <c r="K362" t="s">
        <v>1352</v>
      </c>
      <c r="L362">
        <v>7</v>
      </c>
      <c r="M362" s="4">
        <f>L362*16.5</f>
        <v>115.5</v>
      </c>
      <c r="N362" s="4"/>
      <c r="P362" s="4">
        <f>(M362+N362)/L362</f>
        <v>16.5</v>
      </c>
      <c r="Q362" s="4">
        <f>M362+N362</f>
        <v>115.5</v>
      </c>
    </row>
    <row r="363" spans="11:17" ht="15" thickBot="1" x14ac:dyDescent="0.4">
      <c r="K363" t="s">
        <v>1353</v>
      </c>
      <c r="L363">
        <v>8</v>
      </c>
      <c r="M363" s="4">
        <f>L363*10</f>
        <v>80</v>
      </c>
      <c r="N363" s="4"/>
      <c r="P363" s="4">
        <f>(M363+N363)/L363</f>
        <v>10</v>
      </c>
      <c r="Q363" s="4">
        <f>M363+N363</f>
        <v>80</v>
      </c>
    </row>
    <row r="364" spans="11:17" x14ac:dyDescent="0.35">
      <c r="L364" s="63">
        <f>SUM(L360:L363)</f>
        <v>28</v>
      </c>
      <c r="M364" s="55">
        <f>SUM(M360:M363)</f>
        <v>306.25</v>
      </c>
      <c r="N364" s="55">
        <f>SUM(N360:N363)</f>
        <v>0</v>
      </c>
      <c r="O364" s="55">
        <f>SUM(O360:O363)</f>
        <v>28</v>
      </c>
      <c r="P364" s="55">
        <f>(M364+N364+O364)/L364</f>
        <v>11.9375</v>
      </c>
      <c r="Q364" s="54">
        <f>M364+N364</f>
        <v>306.25</v>
      </c>
    </row>
    <row r="365" spans="11:17" x14ac:dyDescent="0.35">
      <c r="K365" s="31" t="s">
        <v>1356</v>
      </c>
    </row>
    <row r="366" spans="11:17" x14ac:dyDescent="0.35">
      <c r="K366" t="s">
        <v>1354</v>
      </c>
      <c r="L366">
        <v>8</v>
      </c>
      <c r="M366" s="4">
        <f>L366*10</f>
        <v>80</v>
      </c>
      <c r="N366" s="4"/>
      <c r="P366" s="4">
        <f>(M366+N366)/L366</f>
        <v>10</v>
      </c>
      <c r="Q366" s="4">
        <f>M366+N366</f>
        <v>80</v>
      </c>
    </row>
    <row r="367" spans="11:17" x14ac:dyDescent="0.35">
      <c r="K367" t="s">
        <v>1355</v>
      </c>
      <c r="L367">
        <v>9</v>
      </c>
      <c r="M367" s="4">
        <f>L367*7.25</f>
        <v>65.25</v>
      </c>
      <c r="N367" s="4"/>
      <c r="O367">
        <v>28</v>
      </c>
      <c r="P367" s="4">
        <f>(M367+N367)/L367</f>
        <v>7.25</v>
      </c>
      <c r="Q367" s="4">
        <f>M367+N367</f>
        <v>65.25</v>
      </c>
    </row>
    <row r="368" spans="11:17" x14ac:dyDescent="0.35">
      <c r="K368" t="s">
        <v>1352</v>
      </c>
      <c r="L368">
        <v>6</v>
      </c>
      <c r="M368" s="4">
        <f>L368*16.5</f>
        <v>99</v>
      </c>
      <c r="N368" s="4"/>
      <c r="P368" s="4">
        <f>(M368+N368)/L368</f>
        <v>16.5</v>
      </c>
      <c r="Q368" s="4">
        <f>M368+N368</f>
        <v>99</v>
      </c>
    </row>
    <row r="369" spans="11:17" ht="15" thickBot="1" x14ac:dyDescent="0.4">
      <c r="K369" t="s">
        <v>1353</v>
      </c>
      <c r="L369">
        <v>8</v>
      </c>
      <c r="M369" s="4">
        <f>L369*10</f>
        <v>80</v>
      </c>
      <c r="N369" s="4"/>
      <c r="P369" s="4">
        <f>(M369+N369)/L369</f>
        <v>10</v>
      </c>
      <c r="Q369" s="4">
        <f>M369+N369</f>
        <v>80</v>
      </c>
    </row>
    <row r="370" spans="11:17" x14ac:dyDescent="0.35">
      <c r="L370" s="63">
        <f>SUM(L366:L369)</f>
        <v>31</v>
      </c>
      <c r="M370" s="55">
        <f>SUM(M366:M369)</f>
        <v>324.25</v>
      </c>
      <c r="N370" s="55">
        <f>SUM(N366:N369)</f>
        <v>0</v>
      </c>
      <c r="O370" s="55">
        <f>SUM(O366:O369)</f>
        <v>28</v>
      </c>
      <c r="P370" s="55">
        <f>(M370+N370+O370)/L370</f>
        <v>11.362903225806452</v>
      </c>
      <c r="Q370" s="54">
        <f>M370+N370</f>
        <v>324.25</v>
      </c>
    </row>
    <row r="371" spans="11:17" x14ac:dyDescent="0.35">
      <c r="M371" s="48"/>
      <c r="N371" s="48"/>
      <c r="O371" s="48"/>
      <c r="P371" s="48"/>
      <c r="Q371" s="4"/>
    </row>
    <row r="372" spans="11:17" x14ac:dyDescent="0.35">
      <c r="M372" s="48"/>
      <c r="N372" s="48"/>
      <c r="O372" s="48"/>
      <c r="P372" s="48"/>
      <c r="Q372" s="4"/>
    </row>
    <row r="373" spans="11:17" x14ac:dyDescent="0.35">
      <c r="K373" s="31" t="s">
        <v>325</v>
      </c>
      <c r="L373" s="31">
        <f>L352+L358</f>
        <v>44</v>
      </c>
      <c r="M373" s="11">
        <f>M352+M358</f>
        <v>464.5</v>
      </c>
      <c r="N373" s="11">
        <f>N352+N358</f>
        <v>422</v>
      </c>
      <c r="O373" s="11">
        <f>O352+O358</f>
        <v>106</v>
      </c>
      <c r="P373" s="13">
        <f>(M373+N373+O373)/L373</f>
        <v>22.556818181818183</v>
      </c>
      <c r="Q373" s="13">
        <f>M373+N373+O373</f>
        <v>992.5</v>
      </c>
    </row>
    <row r="375" spans="11:17" x14ac:dyDescent="0.35">
      <c r="K375" s="31" t="s">
        <v>1018</v>
      </c>
      <c r="L375" s="31">
        <f>L46+L70+L106+L138+L167+L203+L225+L255+L282+L313+L343</f>
        <v>1167.5</v>
      </c>
      <c r="M375" s="13">
        <f>M46+M70+M106+M138+M167+M203+M225+M255+M282+M313+M343</f>
        <v>11397.875</v>
      </c>
      <c r="N375" s="13">
        <f>N46+N70+N106+N138+N167+N203+N225+N255+N282+N313+N343</f>
        <v>13206</v>
      </c>
      <c r="O375" s="13">
        <f>O46+O70+O106+O138+O167+O203+O225+O255+O282+O313+O343</f>
        <v>2808</v>
      </c>
      <c r="P375" s="13">
        <f>(M375+N375+O375)/L375</f>
        <v>23.479122055674519</v>
      </c>
      <c r="Q375" s="13">
        <f>M375+N375+O375</f>
        <v>27411.875</v>
      </c>
    </row>
  </sheetData>
  <mergeCells count="2">
    <mergeCell ref="A1:D1"/>
    <mergeCell ref="A2:D2"/>
  </mergeCells>
  <phoneticPr fontId="2" type="noConversion"/>
  <pageMargins left="0.7" right="0.7" top="0.75" bottom="0.75" header="0.3" footer="0.3"/>
  <pageSetup orientation="portrait" r:id="rId1"/>
  <ignoredErrors>
    <ignoredError sqref="C28 C106 C15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0D45-53D8-40D3-BCB1-DAAC93DEC209}">
  <sheetPr codeName="Sheet7">
    <tabColor theme="9"/>
  </sheetPr>
  <dimension ref="A1:AS150"/>
  <sheetViews>
    <sheetView zoomScale="59" zoomScaleNormal="94" workbookViewId="0">
      <selection activeCell="C3" sqref="C3"/>
    </sheetView>
  </sheetViews>
  <sheetFormatPr defaultRowHeight="14.5" x14ac:dyDescent="0.35"/>
  <cols>
    <col min="1" max="1" width="27.90625" customWidth="1"/>
    <col min="2" max="2" width="32.1796875" customWidth="1"/>
    <col min="3" max="3" width="27.1796875" customWidth="1"/>
    <col min="4" max="4" width="25" customWidth="1"/>
    <col min="5" max="5" width="23.81640625" customWidth="1"/>
    <col min="6" max="6" width="23.6328125" customWidth="1"/>
    <col min="7" max="7" width="21.6328125" customWidth="1"/>
    <col min="8" max="8" width="25.81640625" customWidth="1"/>
    <col min="9" max="9" width="27.08984375" customWidth="1"/>
    <col min="10" max="26" width="23.6328125" customWidth="1"/>
    <col min="27" max="27" width="17.81640625" customWidth="1"/>
    <col min="28" max="28" width="20.1796875" customWidth="1"/>
    <col min="29" max="29" width="20.36328125" customWidth="1"/>
    <col min="30" max="30" width="17.81640625" customWidth="1"/>
    <col min="31" max="35" width="17.08984375" customWidth="1"/>
    <col min="36" max="38" width="25.90625" customWidth="1"/>
    <col min="39" max="45" width="24.1796875" customWidth="1"/>
  </cols>
  <sheetData>
    <row r="1" spans="1:44" ht="23.5" x14ac:dyDescent="0.55000000000000004">
      <c r="A1" s="169" t="s">
        <v>1449</v>
      </c>
      <c r="B1" s="169"/>
    </row>
    <row r="2" spans="1:44" ht="18.5" x14ac:dyDescent="0.45">
      <c r="A2" s="170" t="s">
        <v>92</v>
      </c>
      <c r="B2" s="170"/>
    </row>
    <row r="3" spans="1:44" ht="18.5" x14ac:dyDescent="0.45">
      <c r="A3" s="5"/>
      <c r="B3" s="5"/>
    </row>
    <row r="4" spans="1:44" ht="23.5" x14ac:dyDescent="0.55000000000000004">
      <c r="A4" s="29" t="s">
        <v>140</v>
      </c>
      <c r="B4" s="21"/>
      <c r="C4" s="2"/>
      <c r="E4" s="8"/>
      <c r="G4" s="8"/>
    </row>
    <row r="5" spans="1:44" ht="19" thickBot="1" x14ac:dyDescent="0.5">
      <c r="A5" s="1" t="s">
        <v>268</v>
      </c>
      <c r="B5" s="21"/>
      <c r="C5" s="2"/>
      <c r="E5" s="8"/>
      <c r="G5" s="8"/>
    </row>
    <row r="6" spans="1:44" ht="15" thickBot="1" x14ac:dyDescent="0.4">
      <c r="A6" s="125" t="s">
        <v>115</v>
      </c>
      <c r="B6" s="107" t="s">
        <v>116</v>
      </c>
      <c r="C6" s="107" t="s">
        <v>23</v>
      </c>
      <c r="D6" s="107" t="s">
        <v>143</v>
      </c>
      <c r="E6" s="107" t="s">
        <v>118</v>
      </c>
      <c r="F6" s="107" t="s">
        <v>125</v>
      </c>
      <c r="G6" s="107" t="s">
        <v>120</v>
      </c>
      <c r="H6" s="107" t="s">
        <v>121</v>
      </c>
    </row>
    <row r="7" spans="1:44" x14ac:dyDescent="0.35">
      <c r="A7" t="s">
        <v>1232</v>
      </c>
      <c r="N7" s="4"/>
      <c r="Q7" s="4"/>
      <c r="T7" s="4"/>
      <c r="W7" s="4"/>
      <c r="Z7" s="4"/>
      <c r="AC7" s="4"/>
      <c r="AF7" s="4"/>
      <c r="AI7" s="4"/>
      <c r="AL7" s="4"/>
      <c r="AO7" s="4"/>
      <c r="AR7" s="4"/>
    </row>
    <row r="8" spans="1:44" ht="15" thickBot="1" x14ac:dyDescent="0.4">
      <c r="A8" s="27" t="s">
        <v>67</v>
      </c>
      <c r="B8" s="103">
        <v>45283</v>
      </c>
      <c r="C8" s="30"/>
      <c r="D8" s="104"/>
      <c r="E8" s="27"/>
      <c r="F8" s="104"/>
      <c r="G8" s="108"/>
      <c r="H8" s="27"/>
      <c r="K8" s="4"/>
      <c r="N8" s="4"/>
      <c r="Q8" s="4"/>
      <c r="T8" s="4"/>
      <c r="W8" s="4"/>
      <c r="Z8" s="4"/>
      <c r="AC8" s="4"/>
      <c r="AF8" s="4"/>
      <c r="AI8" s="4"/>
      <c r="AL8" s="4"/>
      <c r="AO8" s="4"/>
      <c r="AR8" s="4"/>
    </row>
    <row r="9" spans="1:44" x14ac:dyDescent="0.35">
      <c r="A9" s="35"/>
      <c r="B9" s="116"/>
      <c r="C9" s="36"/>
      <c r="D9" s="120"/>
      <c r="E9" s="22"/>
      <c r="F9" s="23"/>
      <c r="G9" s="22"/>
      <c r="K9" s="4"/>
    </row>
    <row r="10" spans="1:44" x14ac:dyDescent="0.35">
      <c r="A10" s="35"/>
      <c r="B10" s="116"/>
      <c r="C10" s="36"/>
      <c r="D10" s="120"/>
      <c r="E10" s="22"/>
      <c r="F10" s="23"/>
      <c r="G10" s="22"/>
    </row>
    <row r="11" spans="1:44" ht="19" thickBot="1" x14ac:dyDescent="0.5">
      <c r="A11" s="1" t="s">
        <v>142</v>
      </c>
      <c r="B11" s="21"/>
      <c r="C11" s="2"/>
      <c r="E11" s="8"/>
      <c r="G11" s="8" t="s">
        <v>1183</v>
      </c>
    </row>
    <row r="12" spans="1:44" ht="15" thickBot="1" x14ac:dyDescent="0.4">
      <c r="A12" s="125" t="s">
        <v>115</v>
      </c>
      <c r="B12" s="107" t="s">
        <v>116</v>
      </c>
      <c r="C12" s="107" t="s">
        <v>23</v>
      </c>
      <c r="D12" s="107" t="s">
        <v>143</v>
      </c>
      <c r="E12" s="107" t="s">
        <v>118</v>
      </c>
      <c r="F12" s="107" t="s">
        <v>125</v>
      </c>
      <c r="G12" s="107" t="s">
        <v>120</v>
      </c>
      <c r="H12" s="107" t="s">
        <v>121</v>
      </c>
    </row>
    <row r="13" spans="1:44" x14ac:dyDescent="0.35">
      <c r="A13" t="s">
        <v>142</v>
      </c>
      <c r="N13">
        <v>4</v>
      </c>
    </row>
    <row r="14" spans="1:44" ht="15" thickBot="1" x14ac:dyDescent="0.4">
      <c r="A14" s="27" t="s">
        <v>67</v>
      </c>
      <c r="B14" s="103">
        <v>44951</v>
      </c>
      <c r="C14" s="30" t="s">
        <v>20</v>
      </c>
      <c r="D14" s="104">
        <v>2.19</v>
      </c>
      <c r="E14" s="27">
        <v>23.242609999999999</v>
      </c>
      <c r="F14" s="104">
        <f>E14*D14</f>
        <v>50.9013159</v>
      </c>
      <c r="G14" s="108">
        <v>2.1000000000000001E-2</v>
      </c>
      <c r="H14" s="27">
        <f>(B23*G14)/365</f>
        <v>1.923487808219178E-3</v>
      </c>
      <c r="N14">
        <v>5</v>
      </c>
    </row>
    <row r="15" spans="1:44" x14ac:dyDescent="0.35">
      <c r="B15" s="21"/>
      <c r="C15" s="2"/>
      <c r="D15" s="4"/>
      <c r="F15" s="4"/>
      <c r="G15" s="20"/>
      <c r="N15" s="19"/>
      <c r="Q15" s="19"/>
      <c r="T15" s="19"/>
      <c r="W15" s="19"/>
      <c r="Z15" s="21"/>
      <c r="AC15" s="19"/>
      <c r="AF15" s="19"/>
      <c r="AI15" s="19"/>
      <c r="AL15" s="19"/>
      <c r="AO15" s="19"/>
    </row>
    <row r="16" spans="1:44" ht="19" thickBot="1" x14ac:dyDescent="0.5">
      <c r="A16" s="1" t="s">
        <v>1180</v>
      </c>
      <c r="B16" s="21"/>
      <c r="C16" s="2"/>
      <c r="D16" s="4"/>
      <c r="F16" s="1" t="s">
        <v>1179</v>
      </c>
      <c r="G16" s="21"/>
      <c r="H16" s="2"/>
      <c r="I16" s="4"/>
      <c r="K16" s="19"/>
      <c r="M16">
        <v>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5" ht="15" thickBot="1" x14ac:dyDescent="0.4">
      <c r="A17" s="126" t="s">
        <v>126</v>
      </c>
      <c r="B17" s="119" t="s">
        <v>105</v>
      </c>
      <c r="C17" s="119" t="s">
        <v>542</v>
      </c>
      <c r="D17" s="119" t="s">
        <v>543</v>
      </c>
      <c r="F17" s="126" t="s">
        <v>126</v>
      </c>
      <c r="G17" s="119" t="s">
        <v>105</v>
      </c>
      <c r="H17" s="119" t="s">
        <v>542</v>
      </c>
      <c r="J17" s="2"/>
      <c r="K17" s="2"/>
      <c r="L17" s="2"/>
      <c r="M17" s="2"/>
    </row>
    <row r="18" spans="1:45" x14ac:dyDescent="0.35">
      <c r="A18" s="35" t="s">
        <v>1182</v>
      </c>
      <c r="B18" s="116">
        <v>8.9</v>
      </c>
      <c r="C18" s="36">
        <f>E14+B18</f>
        <v>32.142609999999998</v>
      </c>
      <c r="D18" s="120">
        <f>C18*'Crypto Market Price Data'!C34</f>
        <v>23.953894391179997</v>
      </c>
      <c r="F18" s="35">
        <v>45231</v>
      </c>
      <c r="G18" s="116">
        <v>1.2894399999999999</v>
      </c>
      <c r="H18" s="120">
        <f>G18+'Crypto Market Price Data'!C34</f>
        <v>2.034678</v>
      </c>
      <c r="I18" s="2"/>
      <c r="N18" s="4"/>
      <c r="Q18" s="4"/>
      <c r="T18" s="4"/>
      <c r="W18" s="4"/>
      <c r="Z18" s="4"/>
      <c r="AC18" s="4"/>
      <c r="AF18" s="4"/>
      <c r="AI18" s="4"/>
      <c r="AL18" s="4"/>
      <c r="AO18" s="4"/>
      <c r="AR18" s="4"/>
    </row>
    <row r="19" spans="1:45" ht="15" thickBot="1" x14ac:dyDescent="0.4">
      <c r="A19" s="121"/>
      <c r="B19" s="122"/>
      <c r="C19" s="123"/>
      <c r="D19" s="124"/>
      <c r="E19" s="22"/>
      <c r="F19" s="121"/>
      <c r="G19" s="122"/>
      <c r="H19" s="123"/>
      <c r="K19" s="4"/>
      <c r="N19" s="4"/>
      <c r="Q19" s="4"/>
      <c r="T19" s="4"/>
      <c r="W19" s="4"/>
      <c r="Z19" s="4"/>
      <c r="AC19" s="4"/>
      <c r="AF19" s="4"/>
      <c r="AI19" s="4"/>
      <c r="AL19" s="4"/>
      <c r="AO19" s="4"/>
      <c r="AR19" s="4"/>
    </row>
    <row r="20" spans="1:45" x14ac:dyDescent="0.35">
      <c r="A20" s="35"/>
      <c r="B20" s="116"/>
      <c r="C20" s="36"/>
      <c r="D20" s="120"/>
      <c r="E20" s="22"/>
      <c r="F20" s="23"/>
      <c r="G20" s="22"/>
      <c r="K20" s="4"/>
      <c r="P20" s="4"/>
      <c r="S20" s="4"/>
      <c r="V20" s="4"/>
      <c r="Y20" s="4"/>
      <c r="AB20" s="4"/>
      <c r="AE20" s="4"/>
      <c r="AH20" s="4"/>
      <c r="AK20" s="4"/>
      <c r="AN20" s="4"/>
      <c r="AQ20" s="4"/>
    </row>
    <row r="21" spans="1:45" ht="19" thickBot="1" x14ac:dyDescent="0.5">
      <c r="A21" s="1" t="s">
        <v>1179</v>
      </c>
      <c r="B21" s="21"/>
      <c r="C21" s="2"/>
      <c r="D21" s="4"/>
      <c r="E21" s="22"/>
      <c r="F21" s="23"/>
      <c r="G21" s="22"/>
      <c r="J21" s="4"/>
      <c r="M21" s="4"/>
      <c r="P21" s="4"/>
      <c r="S21" s="4"/>
      <c r="V21" s="4"/>
      <c r="Y21" s="4"/>
      <c r="AB21" s="4"/>
      <c r="AE21" s="4"/>
      <c r="AH21" s="4"/>
      <c r="AK21" s="4"/>
      <c r="AN21" s="4"/>
      <c r="AQ21" s="4"/>
    </row>
    <row r="22" spans="1:45" ht="15" thickBot="1" x14ac:dyDescent="0.4">
      <c r="A22" s="126" t="s">
        <v>126</v>
      </c>
      <c r="B22" s="128" t="s">
        <v>122</v>
      </c>
      <c r="C22" s="128" t="s">
        <v>123</v>
      </c>
      <c r="D22" s="22"/>
      <c r="E22" s="23"/>
      <c r="F22" s="22"/>
      <c r="J22" s="4"/>
      <c r="M22" s="4"/>
      <c r="P22" s="4"/>
      <c r="S22" s="4"/>
      <c r="V22" s="4"/>
      <c r="Y22" s="4"/>
      <c r="AB22" s="4"/>
      <c r="AE22" s="4"/>
      <c r="AH22" s="4"/>
      <c r="AK22" s="4"/>
      <c r="AN22" s="4"/>
      <c r="AQ22" s="4"/>
    </row>
    <row r="23" spans="1:45" x14ac:dyDescent="0.35">
      <c r="A23" s="35">
        <v>45231</v>
      </c>
      <c r="B23" s="116">
        <f>C18+G18</f>
        <v>33.432049999999997</v>
      </c>
      <c r="C23" s="120">
        <f>B23*'Crypto Market Price Data'!C34</f>
        <v>24.914834077899997</v>
      </c>
      <c r="D23" s="22"/>
      <c r="E23" s="23"/>
      <c r="F23" s="22"/>
      <c r="J23" s="4"/>
      <c r="M23" s="4"/>
      <c r="O23" s="4"/>
      <c r="R23" s="4"/>
      <c r="U23" s="4"/>
      <c r="X23" s="4"/>
      <c r="AA23" s="4"/>
      <c r="AD23" s="4"/>
      <c r="AG23" s="4"/>
      <c r="AJ23" s="4"/>
      <c r="AM23" s="4"/>
      <c r="AP23" s="4"/>
      <c r="AS23" s="4"/>
    </row>
    <row r="24" spans="1:45" ht="15" thickBot="1" x14ac:dyDescent="0.4">
      <c r="A24" s="121"/>
      <c r="B24" s="122"/>
      <c r="C24" s="124"/>
      <c r="D24" s="22"/>
      <c r="E24" s="23"/>
      <c r="F24" s="22"/>
      <c r="L24" s="4"/>
      <c r="O24" s="4"/>
      <c r="R24" s="4"/>
      <c r="U24" s="4"/>
      <c r="X24" s="4"/>
      <c r="AA24" s="4"/>
      <c r="AD24" s="4"/>
      <c r="AG24" s="4"/>
      <c r="AJ24" s="4"/>
      <c r="AM24" s="4"/>
      <c r="AP24" s="4"/>
      <c r="AS24" s="4"/>
    </row>
    <row r="25" spans="1:45" x14ac:dyDescent="0.35">
      <c r="A25" s="35"/>
      <c r="B25" s="116"/>
      <c r="C25" s="36"/>
      <c r="D25" s="120"/>
      <c r="E25" s="22"/>
      <c r="F25" s="23"/>
      <c r="G25" s="22"/>
      <c r="L25" s="4"/>
      <c r="O25" s="4"/>
      <c r="R25" s="4"/>
      <c r="U25" s="4"/>
      <c r="X25" s="4"/>
      <c r="AA25" s="4"/>
      <c r="AD25" s="4"/>
      <c r="AG25" s="4"/>
      <c r="AJ25" s="4"/>
      <c r="AM25" s="4"/>
      <c r="AP25" s="4"/>
      <c r="AS25" s="4"/>
    </row>
    <row r="26" spans="1:45" x14ac:dyDescent="0.35">
      <c r="F26" s="2"/>
      <c r="L26" s="4"/>
      <c r="O26" s="4"/>
      <c r="R26" s="4"/>
      <c r="U26" s="4"/>
      <c r="X26" s="4"/>
      <c r="AA26" s="4"/>
      <c r="AD26" s="4"/>
      <c r="AG26" s="4"/>
      <c r="AJ26" s="4"/>
      <c r="AM26" s="4"/>
      <c r="AP26" s="4"/>
      <c r="AS26" s="4"/>
    </row>
    <row r="27" spans="1:45" ht="19" thickBot="1" x14ac:dyDescent="0.5">
      <c r="A27" s="1" t="s">
        <v>7</v>
      </c>
      <c r="E27" s="16" t="s">
        <v>114</v>
      </c>
      <c r="F27" s="11">
        <f>E30*'Crypto Market Price Data'!$C$19</f>
        <v>9.373347711000001</v>
      </c>
      <c r="G27" s="21">
        <v>44704</v>
      </c>
      <c r="I27" s="21"/>
      <c r="L27" s="4"/>
      <c r="O27" s="4"/>
      <c r="R27" s="4"/>
      <c r="U27" s="4"/>
      <c r="X27" s="4"/>
      <c r="AA27" s="4"/>
      <c r="AD27" s="4"/>
      <c r="AG27" s="4"/>
      <c r="AJ27" s="4"/>
      <c r="AM27" s="4"/>
      <c r="AP27" s="4"/>
      <c r="AS27" s="4"/>
    </row>
    <row r="28" spans="1:45" ht="15" thickBot="1" x14ac:dyDescent="0.4">
      <c r="A28" s="105" t="s">
        <v>115</v>
      </c>
      <c r="B28" s="106" t="s">
        <v>116</v>
      </c>
      <c r="C28" s="106" t="s">
        <v>23</v>
      </c>
      <c r="D28" s="106" t="s">
        <v>117</v>
      </c>
      <c r="E28" s="106" t="s">
        <v>118</v>
      </c>
      <c r="F28" s="106" t="s">
        <v>119</v>
      </c>
      <c r="G28" s="106" t="s">
        <v>120</v>
      </c>
      <c r="H28" s="106" t="s">
        <v>121</v>
      </c>
      <c r="I28" s="106" t="s">
        <v>1040</v>
      </c>
      <c r="L28" s="4"/>
      <c r="O28" s="4"/>
      <c r="R28" s="4"/>
      <c r="U28" s="4"/>
      <c r="X28" s="4"/>
      <c r="AA28" s="4"/>
      <c r="AD28" s="4"/>
      <c r="AG28" s="4"/>
      <c r="AJ28" s="4"/>
      <c r="AM28" s="4"/>
      <c r="AP28" s="4"/>
      <c r="AS28" s="4"/>
    </row>
    <row r="29" spans="1:45" x14ac:dyDescent="0.35">
      <c r="A29" s="109" t="s">
        <v>124</v>
      </c>
      <c r="B29" s="109"/>
      <c r="C29" s="109"/>
      <c r="D29" s="109"/>
      <c r="E29" s="109"/>
      <c r="F29" s="109"/>
      <c r="G29" s="109"/>
      <c r="H29" s="109"/>
      <c r="I29" s="109"/>
      <c r="L29" s="4"/>
      <c r="O29" s="4"/>
      <c r="R29" s="4"/>
      <c r="U29" s="4"/>
      <c r="X29" s="4"/>
      <c r="AA29" s="4"/>
      <c r="AD29" s="4"/>
      <c r="AG29" s="4"/>
      <c r="AJ29" s="4"/>
      <c r="AM29" s="4"/>
      <c r="AP29" s="4"/>
      <c r="AS29" s="4"/>
    </row>
    <row r="30" spans="1:45" ht="15" thickBot="1" x14ac:dyDescent="0.4">
      <c r="A30" s="27" t="s">
        <v>67</v>
      </c>
      <c r="B30" s="103">
        <v>44592</v>
      </c>
      <c r="C30" s="30" t="s">
        <v>18</v>
      </c>
      <c r="D30" s="104">
        <v>52.3</v>
      </c>
      <c r="E30" s="27">
        <v>9.4184999999999999</v>
      </c>
      <c r="F30" s="104">
        <f>'Crypto Claims'!$E30*'Crypto Claims'!$D30</f>
        <v>492.58754999999996</v>
      </c>
      <c r="G30" s="108">
        <v>0.35</v>
      </c>
      <c r="H30" s="27">
        <f>(B77*'Crypto Claims'!$G30)/365</f>
        <v>0.14091969384931508</v>
      </c>
      <c r="I30" s="27">
        <f>'Crypto Claims'!$H30*3</f>
        <v>0.42275908154794523</v>
      </c>
      <c r="L30" s="4"/>
      <c r="N30" s="4"/>
      <c r="Q30" s="4"/>
      <c r="T30" s="4"/>
      <c r="W30" s="4"/>
      <c r="Z30" s="4"/>
      <c r="AC30" s="4"/>
      <c r="AF30" s="4"/>
      <c r="AI30" s="4"/>
      <c r="AL30" s="4"/>
      <c r="AO30" s="4"/>
      <c r="AR30" s="4"/>
    </row>
    <row r="31" spans="1:45" x14ac:dyDescent="0.35">
      <c r="B31" s="21"/>
      <c r="C31" s="2"/>
      <c r="D31" s="4"/>
      <c r="F31" s="4"/>
      <c r="G31" s="20"/>
      <c r="K31" s="4"/>
      <c r="N31" s="4"/>
      <c r="Q31" s="4"/>
      <c r="T31" s="4"/>
      <c r="W31" s="4"/>
      <c r="Z31" s="4"/>
      <c r="AC31" s="4"/>
      <c r="AF31" s="4"/>
      <c r="AI31" s="4"/>
      <c r="AL31" s="4"/>
      <c r="AO31" s="4"/>
      <c r="AR31" s="4"/>
    </row>
    <row r="32" spans="1:45" ht="19" thickBot="1" x14ac:dyDescent="0.5">
      <c r="A32" s="1" t="s">
        <v>1180</v>
      </c>
      <c r="B32" s="21"/>
      <c r="C32" s="2"/>
      <c r="D32" s="4"/>
      <c r="F32" s="1" t="s">
        <v>1181</v>
      </c>
      <c r="H32" s="4"/>
      <c r="K32" s="4"/>
      <c r="N32" s="4"/>
      <c r="Q32" s="4"/>
      <c r="T32" s="4"/>
      <c r="W32" s="4"/>
      <c r="Z32" s="4"/>
      <c r="AC32" s="4"/>
      <c r="AF32" s="4"/>
      <c r="AI32" s="4"/>
      <c r="AL32" s="4"/>
      <c r="AO32" s="4"/>
      <c r="AR32" s="4"/>
    </row>
    <row r="33" spans="1:44" ht="15" thickBot="1" x14ac:dyDescent="0.4">
      <c r="A33" s="127" t="s">
        <v>126</v>
      </c>
      <c r="B33" s="118" t="s">
        <v>105</v>
      </c>
      <c r="C33" s="118" t="s">
        <v>542</v>
      </c>
      <c r="D33" s="118" t="s">
        <v>543</v>
      </c>
      <c r="E33" s="4"/>
      <c r="F33" s="117" t="s">
        <v>126</v>
      </c>
      <c r="G33" s="118" t="s">
        <v>105</v>
      </c>
      <c r="H33" s="118" t="s">
        <v>544</v>
      </c>
      <c r="I33" s="118" t="s">
        <v>545</v>
      </c>
      <c r="K33" s="4"/>
      <c r="N33" s="4"/>
      <c r="Q33" s="4"/>
      <c r="T33" s="4"/>
      <c r="W33" s="4"/>
      <c r="Z33" s="4"/>
      <c r="AC33" s="4"/>
      <c r="AF33" s="4"/>
      <c r="AI33" s="4"/>
      <c r="AL33" s="4"/>
      <c r="AO33" s="4"/>
      <c r="AR33" s="4"/>
    </row>
    <row r="34" spans="1:44" x14ac:dyDescent="0.35">
      <c r="A34" s="110">
        <v>44616</v>
      </c>
      <c r="B34" s="115">
        <v>0.51480000000000004</v>
      </c>
      <c r="C34" s="115">
        <f>E30+B34</f>
        <v>9.9332999999999991</v>
      </c>
      <c r="D34" s="111">
        <f>C34*'Crypto Market Price Data'!$C$19</f>
        <v>9.8856797598000004</v>
      </c>
      <c r="E34" s="4"/>
      <c r="F34" s="110">
        <v>44783</v>
      </c>
      <c r="G34" s="109">
        <v>10.47799</v>
      </c>
      <c r="H34" s="109">
        <f>'Crypto Claims'!$G34</f>
        <v>10.47799</v>
      </c>
      <c r="I34" s="111">
        <f>'Crypto Claims'!$H34*'Crypto Market Price Data'!$C$19</f>
        <v>10.427758515940001</v>
      </c>
      <c r="K34" s="4"/>
      <c r="N34" s="4"/>
      <c r="Q34" s="4"/>
      <c r="T34" s="4"/>
      <c r="W34" s="4"/>
      <c r="Z34" s="4"/>
      <c r="AC34" s="4"/>
      <c r="AF34" s="4"/>
      <c r="AI34" s="4"/>
      <c r="AL34" s="4"/>
      <c r="AO34" s="4"/>
      <c r="AR34" s="4"/>
    </row>
    <row r="35" spans="1:44" x14ac:dyDescent="0.35">
      <c r="A35" s="35">
        <v>44645</v>
      </c>
      <c r="B35" s="36">
        <v>0.56720000000000004</v>
      </c>
      <c r="C35" s="36">
        <f>C34+B35</f>
        <v>10.500499999999999</v>
      </c>
      <c r="D35" s="112">
        <f>C35*'Crypto Market Price Data'!$C$19</f>
        <v>10.450160602999999</v>
      </c>
      <c r="F35" s="35">
        <v>44805</v>
      </c>
      <c r="G35">
        <v>5.7222030000000004</v>
      </c>
      <c r="H35">
        <f>H34+'Crypto Claims'!$G35</f>
        <v>16.200192999999999</v>
      </c>
      <c r="I35" s="112">
        <f>'Crypto Claims'!$H35*'Crypto Market Price Data'!$C$19</f>
        <v>16.122529274757998</v>
      </c>
      <c r="K35" s="4"/>
      <c r="N35" s="4"/>
      <c r="Q35" s="4"/>
      <c r="T35" s="4"/>
      <c r="W35" s="4"/>
      <c r="Z35" s="4"/>
      <c r="AC35" s="4"/>
      <c r="AF35" s="4"/>
      <c r="AI35" s="4"/>
      <c r="AL35" s="4"/>
      <c r="AO35" s="4"/>
      <c r="AR35" s="4"/>
    </row>
    <row r="36" spans="1:44" x14ac:dyDescent="0.35">
      <c r="A36" s="35">
        <v>44675</v>
      </c>
      <c r="B36" s="36">
        <v>0.65029999999999999</v>
      </c>
      <c r="C36" s="36">
        <f t="shared" ref="C36:C38" si="0">C35+B36</f>
        <v>11.150799999999998</v>
      </c>
      <c r="D36" s="112">
        <f>C36*'Crypto Market Price Data'!$C$19</f>
        <v>11.097343064799999</v>
      </c>
      <c r="F36" s="35">
        <v>44835</v>
      </c>
      <c r="G36">
        <v>7.6384569999999998</v>
      </c>
      <c r="H36">
        <f>H35+'Crypto Claims'!$G36</f>
        <v>23.838649999999998</v>
      </c>
      <c r="I36" s="112">
        <f>'Crypto Claims'!$H36*'Crypto Market Price Data'!$C$19</f>
        <v>23.724367511899999</v>
      </c>
      <c r="K36" s="4"/>
      <c r="N36" s="4"/>
      <c r="Q36" s="4"/>
      <c r="T36" s="4"/>
      <c r="W36" s="4"/>
      <c r="Z36" s="4"/>
      <c r="AC36" s="4"/>
      <c r="AF36" s="4"/>
      <c r="AI36" s="4"/>
      <c r="AL36" s="4"/>
      <c r="AO36" s="4"/>
      <c r="AR36" s="4"/>
    </row>
    <row r="37" spans="1:44" x14ac:dyDescent="0.35">
      <c r="A37" s="35">
        <v>44704</v>
      </c>
      <c r="B37" s="36">
        <v>0.68630000000000002</v>
      </c>
      <c r="C37" s="36">
        <f t="shared" si="0"/>
        <v>11.837099999999998</v>
      </c>
      <c r="D37" s="112">
        <f>C37*'Crypto Market Price Data'!$C$19</f>
        <v>11.780352942599999</v>
      </c>
      <c r="F37" s="35">
        <v>44866</v>
      </c>
      <c r="G37">
        <v>8.0436230000000002</v>
      </c>
      <c r="H37">
        <f>H36+'Crypto Claims'!$G37</f>
        <v>31.882272999999998</v>
      </c>
      <c r="I37" s="112">
        <f>'Crypto Claims'!$H37*'Crypto Market Price Data'!$C$19</f>
        <v>31.729429383237999</v>
      </c>
      <c r="K37" s="4"/>
      <c r="N37" s="4"/>
      <c r="Q37" s="4"/>
      <c r="T37" s="4"/>
      <c r="W37" s="4"/>
      <c r="Z37" s="4"/>
      <c r="AC37" s="4"/>
      <c r="AF37" s="4"/>
      <c r="AI37" s="4"/>
      <c r="AL37" s="4"/>
      <c r="AO37" s="4"/>
      <c r="AR37" s="4"/>
    </row>
    <row r="38" spans="1:44" x14ac:dyDescent="0.35">
      <c r="A38" s="35">
        <v>44742</v>
      </c>
      <c r="B38" s="36">
        <v>1.0035000000000001</v>
      </c>
      <c r="C38" s="36">
        <f t="shared" si="0"/>
        <v>12.840599999999998</v>
      </c>
      <c r="D38" s="112">
        <f>C38*'Crypto Market Price Data'!$C$19</f>
        <v>12.7790421636</v>
      </c>
      <c r="F38" s="35">
        <v>44896</v>
      </c>
      <c r="G38">
        <v>7.7224012999999996</v>
      </c>
      <c r="H38">
        <f>H37+'Crypto Claims'!$G38</f>
        <v>39.604674299999999</v>
      </c>
      <c r="I38" s="112">
        <f>'Crypto Claims'!$H38*'Crypto Market Price Data'!$C$19</f>
        <v>39.414809491405798</v>
      </c>
      <c r="K38" s="4"/>
      <c r="N38" s="4"/>
      <c r="Q38" s="4"/>
      <c r="T38" s="4"/>
      <c r="W38" s="4"/>
      <c r="Z38" s="4"/>
      <c r="AC38" s="4"/>
      <c r="AF38" s="4"/>
      <c r="AI38" s="4"/>
      <c r="AL38" s="4"/>
      <c r="AO38" s="4"/>
      <c r="AR38" s="4"/>
    </row>
    <row r="39" spans="1:44" x14ac:dyDescent="0.35">
      <c r="A39" s="35">
        <v>44783</v>
      </c>
      <c r="B39" s="36">
        <v>1.013614</v>
      </c>
      <c r="C39" s="36">
        <f>C38+B39</f>
        <v>13.854213999999999</v>
      </c>
      <c r="D39" s="112">
        <f>C39*'Crypto Market Price Data'!$C$19</f>
        <v>13.787796898084</v>
      </c>
      <c r="F39" s="35">
        <v>44941</v>
      </c>
      <c r="G39">
        <v>11.58258</v>
      </c>
      <c r="H39">
        <f>H38+'Crypto Claims'!$G39</f>
        <v>51.187254299999999</v>
      </c>
      <c r="I39" s="112">
        <f>'Crypto Claims'!$H39*'Crypto Market Price Data'!$C$19</f>
        <v>50.941862602885799</v>
      </c>
      <c r="K39" s="4"/>
      <c r="N39" s="4"/>
      <c r="Q39" s="4"/>
      <c r="T39" s="4"/>
      <c r="W39" s="4"/>
      <c r="Z39" s="4"/>
      <c r="AC39" s="4"/>
      <c r="AF39" s="4"/>
      <c r="AI39" s="4"/>
      <c r="AL39" s="4"/>
      <c r="AO39" s="4"/>
      <c r="AR39" s="4"/>
    </row>
    <row r="40" spans="1:44" x14ac:dyDescent="0.35">
      <c r="A40" s="35">
        <v>44805</v>
      </c>
      <c r="B40" s="36">
        <v>0.91334599999999999</v>
      </c>
      <c r="C40" s="36">
        <f t="shared" ref="C40:C49" si="1">C39+B40</f>
        <v>14.76756</v>
      </c>
      <c r="D40" s="112">
        <f>C40*'Crypto Market Price Data'!$C$19</f>
        <v>14.69676431736</v>
      </c>
      <c r="F40" s="35">
        <v>44958</v>
      </c>
      <c r="G40">
        <v>4.8105960000000003</v>
      </c>
      <c r="H40">
        <f>H39+'Crypto Claims'!$G40</f>
        <v>55.997850299999996</v>
      </c>
      <c r="I40" s="112">
        <f>'Crypto Claims'!$H40*'Crypto Market Price Data'!$C$19</f>
        <v>55.729396605661798</v>
      </c>
      <c r="K40" s="4"/>
      <c r="N40" s="4"/>
      <c r="Q40" s="4"/>
      <c r="T40" s="4"/>
      <c r="W40" s="4"/>
      <c r="Z40" s="4"/>
      <c r="AC40" s="4"/>
      <c r="AF40" s="4"/>
      <c r="AI40" s="4"/>
      <c r="AL40" s="4"/>
      <c r="AO40" s="4"/>
      <c r="AR40" s="4"/>
    </row>
    <row r="41" spans="1:44" x14ac:dyDescent="0.35">
      <c r="A41" s="35">
        <v>44835</v>
      </c>
      <c r="B41" s="36">
        <v>1.5258350000000001</v>
      </c>
      <c r="C41" s="36">
        <f t="shared" si="1"/>
        <v>16.293395</v>
      </c>
      <c r="D41" s="112">
        <f>C41*'Crypto Market Price Data'!$C$19</f>
        <v>16.215284464370001</v>
      </c>
      <c r="F41" s="35">
        <v>44986</v>
      </c>
      <c r="G41" s="113">
        <v>6.3012170000000003</v>
      </c>
      <c r="H41" s="113">
        <f>H40+'Crypto Claims'!$G41</f>
        <v>62.299067299999997</v>
      </c>
      <c r="I41" s="112">
        <f>'Crypto Claims'!$H41*'Crypto Market Price Data'!$C$19</f>
        <v>62.0004055713638</v>
      </c>
      <c r="K41" s="4"/>
      <c r="N41" s="4"/>
      <c r="Q41" s="4"/>
      <c r="T41" s="4"/>
      <c r="W41" s="4"/>
      <c r="Z41" s="4"/>
      <c r="AC41" s="4"/>
      <c r="AF41" s="4"/>
      <c r="AI41" s="4"/>
      <c r="AL41" s="4"/>
      <c r="AO41" s="4"/>
      <c r="AR41" s="4"/>
    </row>
    <row r="42" spans="1:44" x14ac:dyDescent="0.35">
      <c r="A42" s="35">
        <v>44866</v>
      </c>
      <c r="B42" s="36">
        <v>1.6919470000000001</v>
      </c>
      <c r="C42" s="36">
        <f t="shared" si="1"/>
        <v>17.985341999999999</v>
      </c>
      <c r="D42" s="112">
        <f>C42*'Crypto Market Price Data'!$C$19</f>
        <v>17.899120270451998</v>
      </c>
      <c r="F42" s="35">
        <v>45017</v>
      </c>
      <c r="G42" s="113">
        <v>8.4634420000000006</v>
      </c>
      <c r="H42" s="113">
        <f>H41+'Crypto Claims'!$G42</f>
        <v>70.762509300000005</v>
      </c>
      <c r="I42" s="112">
        <f>'Crypto Claims'!$H42*'Crypto Market Price Data'!$C$19</f>
        <v>70.423273830415809</v>
      </c>
      <c r="K42" s="4"/>
      <c r="N42" s="4"/>
      <c r="Q42" s="4"/>
      <c r="T42" s="4"/>
      <c r="W42" s="4"/>
      <c r="Z42" s="4"/>
      <c r="AC42" s="4"/>
      <c r="AF42" s="4"/>
      <c r="AI42" s="4"/>
      <c r="AL42" s="4"/>
      <c r="AO42" s="4"/>
      <c r="AR42" s="4"/>
    </row>
    <row r="43" spans="1:44" x14ac:dyDescent="0.35">
      <c r="A43" s="35">
        <v>44896</v>
      </c>
      <c r="B43" s="36">
        <v>1.8686940000000001</v>
      </c>
      <c r="C43" s="36">
        <f t="shared" si="1"/>
        <v>19.854036000000001</v>
      </c>
      <c r="D43" s="112">
        <f>C43*'Crypto Market Price Data'!$C$19</f>
        <v>19.758855751416</v>
      </c>
      <c r="F43" s="35">
        <v>45047</v>
      </c>
      <c r="G43" s="113">
        <v>7.8244920000000002</v>
      </c>
      <c r="H43" s="113">
        <f>H42+'Crypto Claims'!$G43</f>
        <v>78.587001300000011</v>
      </c>
      <c r="I43" s="112">
        <f>'Crypto Claims'!$H43*'Crypto Market Price Data'!$C$19</f>
        <v>78.210255215767816</v>
      </c>
      <c r="K43" s="4"/>
      <c r="N43" s="4"/>
      <c r="Q43" s="4"/>
      <c r="T43" s="4"/>
      <c r="W43" s="4"/>
      <c r="Z43" s="4"/>
      <c r="AC43" s="4"/>
      <c r="AF43" s="4"/>
      <c r="AI43" s="4"/>
      <c r="AL43" s="4"/>
      <c r="AO43" s="4"/>
      <c r="AR43" s="4"/>
    </row>
    <row r="44" spans="1:44" x14ac:dyDescent="0.35">
      <c r="A44" s="35">
        <v>44941</v>
      </c>
      <c r="B44" s="36">
        <v>3.2072989999999999</v>
      </c>
      <c r="C44" s="36">
        <f t="shared" si="1"/>
        <v>23.061335</v>
      </c>
      <c r="D44" s="112">
        <f>C44*'Crypto Market Price Data'!$C$19</f>
        <v>22.950778960010002</v>
      </c>
      <c r="F44" s="35">
        <v>45078</v>
      </c>
      <c r="G44" s="113">
        <v>8.4217429999999993</v>
      </c>
      <c r="H44" s="113">
        <f>H43+'Crypto Claims'!$G44</f>
        <v>87.008744300000018</v>
      </c>
      <c r="I44" s="112">
        <f>'Crypto Claims'!$H44*'Crypto Market Price Data'!$C$19</f>
        <v>86.591624379825817</v>
      </c>
      <c r="K44" s="4"/>
      <c r="N44" s="4"/>
      <c r="Q44" s="4"/>
      <c r="T44" s="4"/>
      <c r="W44" s="4"/>
      <c r="Z44" s="4"/>
      <c r="AC44" s="4"/>
      <c r="AF44" s="4"/>
      <c r="AI44" s="4"/>
      <c r="AL44" s="4"/>
      <c r="AO44" s="4"/>
      <c r="AR44" s="4"/>
    </row>
    <row r="45" spans="1:44" x14ac:dyDescent="0.35">
      <c r="A45" s="35">
        <v>44958</v>
      </c>
      <c r="B45" s="36">
        <v>1.6142650000000001</v>
      </c>
      <c r="C45" s="36">
        <f t="shared" si="1"/>
        <v>24.675599999999999</v>
      </c>
      <c r="D45" s="112">
        <f>C45*'Crypto Market Price Data'!$C$19</f>
        <v>24.5573051736</v>
      </c>
      <c r="F45" s="35">
        <v>45108</v>
      </c>
      <c r="G45" s="113">
        <v>7.3336920000000001</v>
      </c>
      <c r="H45" s="113">
        <f>H44+'Crypto Claims'!$G45</f>
        <v>94.342436300000017</v>
      </c>
      <c r="I45" s="112">
        <f>'Crypto Claims'!$H45*'Crypto Market Price Data'!$C$19</f>
        <v>93.890158660377821</v>
      </c>
      <c r="K45" s="4"/>
      <c r="N45" s="4"/>
      <c r="Q45" s="4"/>
      <c r="T45" s="4"/>
      <c r="W45" s="4"/>
      <c r="Z45" s="4"/>
      <c r="AC45" s="4"/>
      <c r="AF45" s="4"/>
      <c r="AI45" s="4"/>
      <c r="AL45" s="4"/>
      <c r="AO45" s="4"/>
      <c r="AR45" s="4"/>
    </row>
    <row r="46" spans="1:44" x14ac:dyDescent="0.35">
      <c r="A46" s="35">
        <v>44986</v>
      </c>
      <c r="B46" s="33">
        <v>2.3119499999999999</v>
      </c>
      <c r="C46" s="36">
        <f t="shared" si="1"/>
        <v>26.987549999999999</v>
      </c>
      <c r="D46" s="112">
        <f>C46*'Crypto Market Price Data'!$C$19</f>
        <v>26.8581716853</v>
      </c>
      <c r="F46" s="35">
        <v>45139</v>
      </c>
      <c r="G46" s="113">
        <v>8.0277209999999997</v>
      </c>
      <c r="H46" s="113">
        <f>H45+'Crypto Claims'!$G46</f>
        <v>102.37015730000002</v>
      </c>
      <c r="I46" s="112">
        <f>'Crypto Claims'!$H46*'Crypto Market Price Data'!$C$19</f>
        <v>101.87939476590383</v>
      </c>
      <c r="K46" s="4"/>
      <c r="N46" s="4"/>
      <c r="Q46" s="4"/>
      <c r="T46" s="4"/>
      <c r="W46" s="4"/>
      <c r="Z46" s="4"/>
      <c r="AC46" s="4"/>
      <c r="AF46" s="4"/>
      <c r="AI46" s="4"/>
      <c r="AL46" s="4"/>
      <c r="AO46" s="4"/>
      <c r="AR46" s="4"/>
    </row>
    <row r="47" spans="1:44" x14ac:dyDescent="0.35">
      <c r="A47" s="35">
        <v>45017</v>
      </c>
      <c r="B47" s="116">
        <v>3.226623</v>
      </c>
      <c r="C47" s="36">
        <f t="shared" si="1"/>
        <v>30.214172999999999</v>
      </c>
      <c r="D47" s="112">
        <f>C47*'Crypto Market Price Data'!$C$19</f>
        <v>30.069326254638</v>
      </c>
      <c r="F47" s="35">
        <v>45170</v>
      </c>
      <c r="G47" s="113">
        <v>8.0594000000000001</v>
      </c>
      <c r="H47" s="113">
        <f>H46+'Crypto Claims'!$G47</f>
        <v>110.42955730000001</v>
      </c>
      <c r="I47" s="112">
        <f>'Crypto Claims'!$H47*'Crypto Market Price Data'!$C$19</f>
        <v>109.90015800230381</v>
      </c>
      <c r="K47" s="4"/>
      <c r="N47" s="4"/>
      <c r="Q47" s="4"/>
      <c r="T47" s="4"/>
      <c r="W47" s="4"/>
      <c r="Z47" s="4"/>
      <c r="AC47" s="4"/>
      <c r="AF47" s="4"/>
      <c r="AI47" s="4"/>
      <c r="AL47" s="4"/>
      <c r="AO47" s="4"/>
      <c r="AR47" s="4"/>
    </row>
    <row r="48" spans="1:44" x14ac:dyDescent="0.35">
      <c r="A48" s="35">
        <v>45047</v>
      </c>
      <c r="B48" s="116">
        <v>3.1841080000000002</v>
      </c>
      <c r="C48" s="36">
        <f t="shared" si="1"/>
        <v>33.398280999999997</v>
      </c>
      <c r="D48" s="112">
        <f>C48*'Crypto Market Price Data'!$C$19</f>
        <v>33.238169640885999</v>
      </c>
      <c r="F48" s="35">
        <v>45200</v>
      </c>
      <c r="G48" s="113">
        <v>6.5577199999999998</v>
      </c>
      <c r="H48" s="113">
        <f>H47+'Crypto Claims'!$G48</f>
        <v>116.98727730000002</v>
      </c>
      <c r="I48" s="112">
        <f>'Crypto Claims'!$H48*'Crypto Market Price Data'!$C$19</f>
        <v>116.42644029262382</v>
      </c>
      <c r="K48" s="4"/>
      <c r="N48" s="4"/>
      <c r="Q48" s="4"/>
      <c r="T48" s="4"/>
      <c r="W48" s="4"/>
      <c r="Z48" s="4"/>
      <c r="AC48" s="4"/>
      <c r="AF48" s="4"/>
      <c r="AI48" s="4"/>
      <c r="AL48" s="4"/>
      <c r="AO48" s="4"/>
      <c r="AR48" s="4"/>
    </row>
    <row r="49" spans="1:44" x14ac:dyDescent="0.35">
      <c r="A49" s="35">
        <v>45078</v>
      </c>
      <c r="B49" s="116">
        <v>3.6793840000000002</v>
      </c>
      <c r="C49" s="36">
        <f t="shared" si="1"/>
        <v>37.077664999999996</v>
      </c>
      <c r="D49" s="112">
        <f>C49*'Crypto Market Price Data'!$C$19</f>
        <v>36.899914673989997</v>
      </c>
      <c r="F49" s="35">
        <v>45231</v>
      </c>
      <c r="G49" s="113">
        <v>7.2522700000000002</v>
      </c>
      <c r="H49" s="113">
        <f>H48+'Crypto Claims'!$G49</f>
        <v>124.23954730000001</v>
      </c>
      <c r="I49" s="120">
        <f>'Crypto Claims'!$H49*'Crypto Market Price Data'!$C$19</f>
        <v>123.64394291024382</v>
      </c>
      <c r="K49" s="4"/>
      <c r="N49" s="4"/>
      <c r="Q49" s="4"/>
      <c r="T49" s="4"/>
      <c r="W49" s="4"/>
      <c r="Z49" s="4"/>
      <c r="AC49" s="4"/>
      <c r="AF49" s="4"/>
      <c r="AI49" s="4"/>
      <c r="AL49" s="4"/>
      <c r="AO49" s="4"/>
      <c r="AR49" s="4"/>
    </row>
    <row r="50" spans="1:44" x14ac:dyDescent="0.35">
      <c r="A50" s="35">
        <v>45108</v>
      </c>
      <c r="B50" s="116">
        <v>3.4895179999999999</v>
      </c>
      <c r="C50" s="36">
        <f>C49+B50</f>
        <v>40.567182999999993</v>
      </c>
      <c r="D50" s="112">
        <f>C50*'Crypto Market Price Data'!$C$19</f>
        <v>40.372703924697994</v>
      </c>
      <c r="F50" s="35">
        <v>45261</v>
      </c>
      <c r="G50" s="113">
        <v>5.8956439999999999</v>
      </c>
      <c r="H50" s="113">
        <f>H49+'Crypto Claims'!$G50</f>
        <v>130.1351913</v>
      </c>
      <c r="I50" s="120">
        <f>'Crypto Claims'!$H50*'Crypto Market Price Data'!$C$19</f>
        <v>129.51132319290781</v>
      </c>
      <c r="K50" s="4"/>
      <c r="N50" s="4"/>
      <c r="Q50" s="4"/>
      <c r="T50" s="4"/>
      <c r="W50" s="4"/>
      <c r="Z50" s="4"/>
      <c r="AC50" s="4"/>
      <c r="AF50" s="4"/>
      <c r="AI50" s="4"/>
      <c r="AL50" s="4"/>
      <c r="AO50" s="4"/>
      <c r="AR50" s="4"/>
    </row>
    <row r="51" spans="1:44" x14ac:dyDescent="0.35">
      <c r="A51" s="35">
        <v>45139</v>
      </c>
      <c r="B51" s="116">
        <v>4.0217689999999999</v>
      </c>
      <c r="C51" s="36">
        <f>C50+B51</f>
        <v>44.588951999999992</v>
      </c>
      <c r="D51" s="112">
        <f>C51*'Crypto Market Price Data'!$C$19</f>
        <v>44.375192564111991</v>
      </c>
      <c r="F51" s="35">
        <v>45292</v>
      </c>
      <c r="G51" s="113">
        <v>6.1759130000000004</v>
      </c>
      <c r="H51" s="113">
        <f>H50+'Crypto Claims'!$G51</f>
        <v>136.31110430000001</v>
      </c>
      <c r="I51" s="120">
        <f>'Crypto Claims'!$H51*'Crypto Market Price Data'!$C$19</f>
        <v>135.65762886598583</v>
      </c>
      <c r="K51" s="4"/>
      <c r="N51" s="4"/>
      <c r="Q51" s="4"/>
      <c r="T51" s="4"/>
      <c r="W51" s="4"/>
      <c r="Z51" s="4"/>
      <c r="AC51" s="4"/>
      <c r="AF51" s="4"/>
      <c r="AI51" s="4"/>
      <c r="AL51" s="4"/>
      <c r="AO51" s="4"/>
      <c r="AR51" s="4"/>
    </row>
    <row r="52" spans="1:44" x14ac:dyDescent="0.35">
      <c r="A52" s="35">
        <v>45170</v>
      </c>
      <c r="B52" s="116">
        <v>4.3541910000000001</v>
      </c>
      <c r="C52" s="36">
        <f t="shared" ref="C52:C57" si="2">C51+B52</f>
        <v>48.943142999999992</v>
      </c>
      <c r="D52" s="112">
        <f>C52*'Crypto Market Price Data'!$C$19</f>
        <v>48.708509572457992</v>
      </c>
      <c r="F52" s="35">
        <v>45323</v>
      </c>
      <c r="G52" s="113">
        <v>4.4459780000000002</v>
      </c>
      <c r="H52" s="113">
        <f>H51+'Crypto Claims'!$G52</f>
        <v>140.75708230000001</v>
      </c>
      <c r="I52" s="120">
        <f>'Crypto Claims'!$H52*'Crypto Market Price Data'!$C$19</f>
        <v>140.0822928474538</v>
      </c>
      <c r="K52" s="4"/>
      <c r="N52" s="4"/>
      <c r="Q52" s="4"/>
      <c r="T52" s="4"/>
      <c r="W52" s="4"/>
      <c r="Z52" s="4"/>
      <c r="AC52" s="4"/>
      <c r="AF52" s="4"/>
      <c r="AI52" s="4"/>
      <c r="AL52" s="4"/>
      <c r="AO52" s="4"/>
      <c r="AR52" s="4"/>
    </row>
    <row r="53" spans="1:44" x14ac:dyDescent="0.35">
      <c r="A53" s="35">
        <v>45200</v>
      </c>
      <c r="B53" s="116">
        <v>4.6016599999999999</v>
      </c>
      <c r="C53" s="36">
        <f t="shared" si="2"/>
        <v>53.544802999999995</v>
      </c>
      <c r="D53" s="112">
        <f>C53*'Crypto Market Price Data'!$C$19</f>
        <v>53.288109214417993</v>
      </c>
      <c r="F53" s="35">
        <v>45352</v>
      </c>
      <c r="G53" s="113">
        <v>0</v>
      </c>
      <c r="H53" s="113">
        <f>H52+'Crypto Claims'!$G53</f>
        <v>140.75708230000001</v>
      </c>
      <c r="I53" s="120">
        <f>'Crypto Claims'!$H53*'Crypto Market Price Data'!$C$19</f>
        <v>140.0822928474538</v>
      </c>
      <c r="J53" t="s">
        <v>1296</v>
      </c>
      <c r="K53" s="4"/>
      <c r="N53" s="4"/>
      <c r="Q53" s="4"/>
      <c r="T53" s="4"/>
      <c r="W53" s="4"/>
      <c r="Z53" s="4"/>
      <c r="AC53" s="4"/>
      <c r="AF53" s="4"/>
      <c r="AI53" s="4"/>
      <c r="AL53" s="4"/>
      <c r="AO53" s="4"/>
      <c r="AR53" s="4"/>
    </row>
    <row r="54" spans="1:44" x14ac:dyDescent="0.35">
      <c r="A54" s="35">
        <v>45231</v>
      </c>
      <c r="B54" s="116">
        <v>5.5816780000000001</v>
      </c>
      <c r="C54" s="36">
        <f t="shared" si="2"/>
        <v>59.126480999999998</v>
      </c>
      <c r="D54" s="120">
        <f>C54*'Crypto Market Price Data'!$C$19</f>
        <v>58.843028650085998</v>
      </c>
      <c r="F54" s="35">
        <v>45383</v>
      </c>
      <c r="G54" s="113">
        <v>0</v>
      </c>
      <c r="H54" s="113">
        <f>H53+'Crypto Claims'!$G54</f>
        <v>140.75708230000001</v>
      </c>
      <c r="I54" s="120">
        <f>'Crypto Claims'!$H54*'Crypto Market Price Data'!$C$19</f>
        <v>140.0822928474538</v>
      </c>
      <c r="K54" s="4"/>
    </row>
    <row r="55" spans="1:44" ht="15" thickBot="1" x14ac:dyDescent="0.4">
      <c r="A55" s="35">
        <v>45261</v>
      </c>
      <c r="B55" s="113">
        <v>4.9465159999999999</v>
      </c>
      <c r="C55" s="113">
        <f t="shared" si="2"/>
        <v>64.072997000000001</v>
      </c>
      <c r="D55" s="120">
        <f>C55*'Crypto Market Price Data'!$C$19</f>
        <v>63.765831052382005</v>
      </c>
      <c r="F55" s="121">
        <v>45424</v>
      </c>
      <c r="G55" s="151">
        <v>0</v>
      </c>
      <c r="H55" s="151">
        <f>H54+'Crypto Claims'!$G55</f>
        <v>140.75708230000001</v>
      </c>
      <c r="I55" s="124">
        <f>'Crypto Claims'!$H55*'Crypto Market Price Data'!$C$19</f>
        <v>140.0822928474538</v>
      </c>
    </row>
    <row r="56" spans="1:44" x14ac:dyDescent="0.35">
      <c r="A56" s="35">
        <v>44927</v>
      </c>
      <c r="B56" s="113">
        <v>5.4298970000000004</v>
      </c>
      <c r="C56" s="113">
        <f t="shared" si="2"/>
        <v>69.502893999999998</v>
      </c>
      <c r="D56" s="120">
        <f>C56*'Crypto Market Price Data'!$C$19</f>
        <v>69.169697126163996</v>
      </c>
    </row>
    <row r="57" spans="1:44" x14ac:dyDescent="0.35">
      <c r="A57" s="35">
        <v>44958</v>
      </c>
      <c r="B57" s="113">
        <v>8.0152570000000001</v>
      </c>
      <c r="C57" s="113">
        <f t="shared" si="2"/>
        <v>77.518151000000003</v>
      </c>
      <c r="D57" s="120">
        <f>C57*'Crypto Market Price Data'!$C$19</f>
        <v>77.146528984106013</v>
      </c>
    </row>
    <row r="58" spans="1:44" x14ac:dyDescent="0.35">
      <c r="A58" s="35">
        <v>44986</v>
      </c>
      <c r="B58" s="113">
        <v>4.2341300000000004</v>
      </c>
      <c r="C58" s="113">
        <f>C57+B58</f>
        <v>81.752281000000011</v>
      </c>
      <c r="D58" s="120">
        <f>C58*'Crypto Market Price Data'!$C$19</f>
        <v>81.360360564886008</v>
      </c>
    </row>
    <row r="59" spans="1:44" x14ac:dyDescent="0.35">
      <c r="A59" s="35">
        <v>45017</v>
      </c>
      <c r="B59" s="113">
        <v>6.1304930000000004</v>
      </c>
      <c r="C59" s="113">
        <f>C58+B59</f>
        <v>87.882774000000012</v>
      </c>
      <c r="D59" s="120">
        <f>C59*'Crypto Market Price Data'!$C$19</f>
        <v>87.461463981444012</v>
      </c>
      <c r="G59" s="113"/>
    </row>
    <row r="60" spans="1:44" ht="15" thickBot="1" x14ac:dyDescent="0.4">
      <c r="A60" s="121">
        <v>45058</v>
      </c>
      <c r="B60" s="151">
        <v>14.738340000000001</v>
      </c>
      <c r="C60" s="151">
        <f>C59+B60</f>
        <v>102.62111400000001</v>
      </c>
      <c r="D60" s="124">
        <f>C60*'Crypto Market Price Data'!$C$19</f>
        <v>102.12914837948401</v>
      </c>
    </row>
    <row r="61" spans="1:44" x14ac:dyDescent="0.35">
      <c r="A61" s="35"/>
      <c r="B61" s="113"/>
      <c r="C61" s="113"/>
      <c r="D61" s="120"/>
    </row>
    <row r="62" spans="1:44" x14ac:dyDescent="0.35">
      <c r="A62" s="35"/>
      <c r="B62" s="46"/>
      <c r="C62" s="2"/>
      <c r="D62" s="4"/>
    </row>
    <row r="63" spans="1:44" ht="19" thickBot="1" x14ac:dyDescent="0.5">
      <c r="A63" s="1" t="s">
        <v>149</v>
      </c>
      <c r="B63" s="21"/>
      <c r="C63" s="2"/>
      <c r="D63" s="4"/>
      <c r="F63" s="4"/>
      <c r="G63" s="20"/>
    </row>
    <row r="64" spans="1:44" ht="15" thickBot="1" x14ac:dyDescent="0.4">
      <c r="A64" s="129" t="s">
        <v>126</v>
      </c>
      <c r="B64" s="130" t="s">
        <v>122</v>
      </c>
      <c r="C64" s="130" t="s">
        <v>123</v>
      </c>
      <c r="D64" s="4"/>
      <c r="F64" s="4"/>
      <c r="G64" s="20"/>
    </row>
    <row r="65" spans="1:7" x14ac:dyDescent="0.35">
      <c r="A65" s="110">
        <v>44783</v>
      </c>
      <c r="B65" s="115">
        <f>C39+G34</f>
        <v>24.332203999999997</v>
      </c>
      <c r="C65" s="111">
        <f>B65*'Crypto Market Price Data'!$C$19</f>
        <v>24.215555414023999</v>
      </c>
      <c r="D65" s="4"/>
      <c r="F65" s="4"/>
      <c r="G65" s="20"/>
    </row>
    <row r="66" spans="1:7" x14ac:dyDescent="0.35">
      <c r="A66" s="35">
        <v>44805</v>
      </c>
      <c r="B66" s="36">
        <f t="shared" ref="B66:B86" si="3">B65+B40+G35</f>
        <v>30.967752999999998</v>
      </c>
      <c r="C66" s="112">
        <f>B66*'Crypto Market Price Data'!$C$19</f>
        <v>30.819293592118001</v>
      </c>
      <c r="D66" s="4"/>
    </row>
    <row r="67" spans="1:7" x14ac:dyDescent="0.35">
      <c r="A67" s="35">
        <v>44835</v>
      </c>
      <c r="B67" s="36">
        <f t="shared" si="3"/>
        <v>40.132044999999998</v>
      </c>
      <c r="C67" s="112">
        <f>B67*'Crypto Market Price Data'!$C$19</f>
        <v>39.93965197627</v>
      </c>
      <c r="D67" s="4"/>
    </row>
    <row r="68" spans="1:7" x14ac:dyDescent="0.35">
      <c r="A68" s="35">
        <v>44866</v>
      </c>
      <c r="B68" s="36">
        <f t="shared" si="3"/>
        <v>49.867615000000001</v>
      </c>
      <c r="C68" s="112">
        <f>B68*'Crypto Market Price Data'!$C$19</f>
        <v>49.628549653690001</v>
      </c>
      <c r="D68" s="4"/>
    </row>
    <row r="69" spans="1:7" x14ac:dyDescent="0.35">
      <c r="A69" s="35">
        <v>44896</v>
      </c>
      <c r="B69" s="36">
        <f t="shared" si="3"/>
        <v>59.4587103</v>
      </c>
      <c r="C69" s="112">
        <f>B69*'Crypto Market Price Data'!$C$19</f>
        <v>59.173665242821805</v>
      </c>
      <c r="D69" s="4"/>
    </row>
    <row r="70" spans="1:7" x14ac:dyDescent="0.35">
      <c r="A70" s="35">
        <v>44941</v>
      </c>
      <c r="B70" s="36">
        <f t="shared" si="3"/>
        <v>74.248589299999992</v>
      </c>
      <c r="C70" s="112">
        <f>B70*'Crypto Market Price Data'!$C$19</f>
        <v>73.89264156289579</v>
      </c>
      <c r="D70" s="4"/>
    </row>
    <row r="71" spans="1:7" x14ac:dyDescent="0.35">
      <c r="A71" s="35">
        <v>44958</v>
      </c>
      <c r="B71" s="36">
        <f t="shared" si="3"/>
        <v>80.673450299999999</v>
      </c>
      <c r="C71" s="112">
        <f>B71*'Crypto Market Price Data'!$C$19</f>
        <v>80.286701779261804</v>
      </c>
      <c r="D71" s="4"/>
    </row>
    <row r="72" spans="1:7" x14ac:dyDescent="0.35">
      <c r="A72" s="35">
        <v>44986</v>
      </c>
      <c r="B72" s="36">
        <f t="shared" si="3"/>
        <v>89.286617299999989</v>
      </c>
      <c r="C72" s="112">
        <f>B72*'Crypto Market Price Data'!$C$19</f>
        <v>88.858577256663793</v>
      </c>
    </row>
    <row r="73" spans="1:7" x14ac:dyDescent="0.35">
      <c r="A73" s="35">
        <v>45017</v>
      </c>
      <c r="B73" s="36">
        <f t="shared" si="3"/>
        <v>100.97668229999999</v>
      </c>
      <c r="C73" s="112">
        <f>B73*'Crypto Market Price Data'!$C$19</f>
        <v>100.49260008505379</v>
      </c>
    </row>
    <row r="74" spans="1:7" x14ac:dyDescent="0.35">
      <c r="A74" s="35">
        <v>45047</v>
      </c>
      <c r="B74" s="36">
        <f t="shared" si="3"/>
        <v>111.98528229999999</v>
      </c>
      <c r="C74" s="112">
        <f>B74*'Crypto Market Price Data'!$C$19</f>
        <v>111.4484248566538</v>
      </c>
    </row>
    <row r="75" spans="1:7" x14ac:dyDescent="0.35">
      <c r="A75" s="35">
        <v>45078</v>
      </c>
      <c r="B75" s="36">
        <f t="shared" si="3"/>
        <v>124.08640929999999</v>
      </c>
      <c r="C75" s="112">
        <f>B75*'Crypto Market Price Data'!$C$19</f>
        <v>123.49153905381579</v>
      </c>
    </row>
    <row r="76" spans="1:7" x14ac:dyDescent="0.35">
      <c r="A76" s="35">
        <v>45108</v>
      </c>
      <c r="B76" s="36">
        <f t="shared" si="3"/>
        <v>134.9096193</v>
      </c>
      <c r="C76" s="112">
        <f>B76*'Crypto Market Price Data'!$C$19</f>
        <v>134.26286258507579</v>
      </c>
    </row>
    <row r="77" spans="1:7" x14ac:dyDescent="0.35">
      <c r="A77" s="35">
        <v>45139</v>
      </c>
      <c r="B77" s="36">
        <f t="shared" si="3"/>
        <v>146.95910930000002</v>
      </c>
      <c r="C77" s="112">
        <f>B77*'Crypto Market Price Data'!$C$19</f>
        <v>146.25458733001582</v>
      </c>
      <c r="D77" s="4"/>
    </row>
    <row r="78" spans="1:7" x14ac:dyDescent="0.35">
      <c r="A78" s="35">
        <v>45170</v>
      </c>
      <c r="B78" s="36">
        <f t="shared" si="3"/>
        <v>159.37270030000005</v>
      </c>
      <c r="C78" s="112">
        <f>B78*'Crypto Market Price Data'!$C$19</f>
        <v>158.60866757476185</v>
      </c>
    </row>
    <row r="79" spans="1:7" x14ac:dyDescent="0.35">
      <c r="A79" s="35">
        <v>45200</v>
      </c>
      <c r="B79" s="36">
        <f t="shared" si="3"/>
        <v>170.53208030000005</v>
      </c>
      <c r="C79" s="112">
        <f>B79*'Crypto Market Price Data'!$C$19</f>
        <v>169.71454950704185</v>
      </c>
    </row>
    <row r="80" spans="1:7" x14ac:dyDescent="0.35">
      <c r="A80" s="35">
        <v>45231</v>
      </c>
      <c r="B80" s="36">
        <f t="shared" si="3"/>
        <v>183.36602830000007</v>
      </c>
      <c r="C80" s="120">
        <f>B80*'Crypto Market Price Data'!$C$19</f>
        <v>182.48697156032986</v>
      </c>
    </row>
    <row r="81" spans="1:13" x14ac:dyDescent="0.35">
      <c r="A81" s="35">
        <v>45261</v>
      </c>
      <c r="B81" s="36">
        <f t="shared" si="3"/>
        <v>194.20818830000007</v>
      </c>
      <c r="C81" s="120">
        <f>B81*'Crypto Market Price Data'!$C$19</f>
        <v>193.27715424528989</v>
      </c>
    </row>
    <row r="82" spans="1:13" x14ac:dyDescent="0.35">
      <c r="A82" s="35">
        <v>45292</v>
      </c>
      <c r="B82" s="36">
        <f t="shared" si="3"/>
        <v>205.81399830000009</v>
      </c>
      <c r="C82" s="120">
        <f>B82*'Crypto Market Price Data'!$C$19</f>
        <v>204.82732599214989</v>
      </c>
    </row>
    <row r="83" spans="1:13" x14ac:dyDescent="0.35">
      <c r="A83" s="35">
        <v>45323</v>
      </c>
      <c r="B83" s="36">
        <f t="shared" si="3"/>
        <v>218.27523330000008</v>
      </c>
      <c r="C83" s="120">
        <f>B83*'Crypto Market Price Data'!$C$19</f>
        <v>217.22882183155988</v>
      </c>
    </row>
    <row r="84" spans="1:13" ht="15" thickBot="1" x14ac:dyDescent="0.4">
      <c r="A84" s="35">
        <v>45352</v>
      </c>
      <c r="B84" s="36">
        <f t="shared" si="3"/>
        <v>222.50936330000008</v>
      </c>
      <c r="C84" s="120">
        <f>B84*'Crypto Market Price Data'!$C$19</f>
        <v>221.44265341233989</v>
      </c>
    </row>
    <row r="85" spans="1:13" x14ac:dyDescent="0.35">
      <c r="A85" s="35">
        <v>45017</v>
      </c>
      <c r="B85" s="36">
        <f t="shared" si="3"/>
        <v>228.63985630000008</v>
      </c>
      <c r="C85" s="120">
        <f>B85*'Crypto Market Price Data'!$C$19</f>
        <v>227.5437568288979</v>
      </c>
      <c r="E85" s="130" t="s">
        <v>23</v>
      </c>
      <c r="F85" s="130" t="s">
        <v>1441</v>
      </c>
    </row>
    <row r="86" spans="1:13" ht="15" thickBot="1" x14ac:dyDescent="0.4">
      <c r="A86" s="121">
        <v>45058</v>
      </c>
      <c r="B86" s="123">
        <f t="shared" si="3"/>
        <v>243.37819630000007</v>
      </c>
      <c r="C86" s="124">
        <f>B86*'Crypto Market Price Data'!$C$19</f>
        <v>242.21144122693786</v>
      </c>
      <c r="D86" s="33" t="s">
        <v>1440</v>
      </c>
      <c r="E86" s="36">
        <f>B86-B65</f>
        <v>219.04599230000008</v>
      </c>
      <c r="F86">
        <f>E86*'Crypto Market Price Data'!C19</f>
        <v>217.99588581291388</v>
      </c>
    </row>
    <row r="87" spans="1:13" ht="18.5" x14ac:dyDescent="0.45">
      <c r="A87" s="5"/>
      <c r="B87" s="5"/>
    </row>
    <row r="88" spans="1:13" ht="18.5" x14ac:dyDescent="0.45">
      <c r="A88" s="5"/>
      <c r="B88" s="5"/>
    </row>
    <row r="89" spans="1:13" ht="24" thickBot="1" x14ac:dyDescent="0.6">
      <c r="A89" s="29" t="s">
        <v>141</v>
      </c>
      <c r="C89" s="2"/>
      <c r="D89" s="2"/>
      <c r="E89" s="19">
        <v>44944</v>
      </c>
      <c r="G89" s="19">
        <v>45027</v>
      </c>
    </row>
    <row r="90" spans="1:13" ht="15" thickBot="1" x14ac:dyDescent="0.4">
      <c r="A90" s="85" t="s">
        <v>11</v>
      </c>
      <c r="B90" s="86" t="s">
        <v>94</v>
      </c>
      <c r="C90" s="86" t="s">
        <v>23</v>
      </c>
      <c r="D90" s="86" t="s">
        <v>118</v>
      </c>
      <c r="E90" s="86" t="s">
        <v>95</v>
      </c>
      <c r="F90" s="86" t="s">
        <v>104</v>
      </c>
      <c r="G90" s="86" t="s">
        <v>96</v>
      </c>
      <c r="H90" s="2"/>
      <c r="I90" s="31"/>
      <c r="J90" s="31"/>
      <c r="K90" s="6"/>
      <c r="L90" s="6"/>
      <c r="M90" s="6"/>
    </row>
    <row r="91" spans="1:13" x14ac:dyDescent="0.35">
      <c r="A91" s="87" t="s">
        <v>106</v>
      </c>
      <c r="B91" s="143">
        <v>44660</v>
      </c>
      <c r="C91" s="88" t="s">
        <v>61</v>
      </c>
      <c r="D91" s="87">
        <v>0</v>
      </c>
      <c r="E91" s="144">
        <v>0</v>
      </c>
      <c r="F91" s="87">
        <v>3815.5</v>
      </c>
      <c r="G91" s="144">
        <f>'Crypto Claims'!$F91*0.0005</f>
        <v>1.9077500000000001</v>
      </c>
      <c r="I91" s="35"/>
      <c r="J91" s="38"/>
      <c r="L91" s="8"/>
    </row>
    <row r="92" spans="1:13" ht="15" thickBot="1" x14ac:dyDescent="0.4">
      <c r="A92" s="27" t="s">
        <v>107</v>
      </c>
      <c r="B92" s="103">
        <v>44660</v>
      </c>
      <c r="C92" s="30" t="s">
        <v>61</v>
      </c>
      <c r="D92" s="27">
        <v>0</v>
      </c>
      <c r="E92" s="91">
        <v>0</v>
      </c>
      <c r="F92" s="145">
        <v>11282.6</v>
      </c>
      <c r="G92" s="91">
        <f>'Crypto Claims'!$F92*0.0005</f>
        <v>5.6413000000000002</v>
      </c>
      <c r="H92" s="19"/>
      <c r="I92" s="35"/>
      <c r="J92" s="142"/>
      <c r="L92" s="8"/>
    </row>
    <row r="93" spans="1:13" x14ac:dyDescent="0.35">
      <c r="I93" s="35"/>
      <c r="J93" s="142"/>
      <c r="L93" s="8"/>
    </row>
    <row r="94" spans="1:13" x14ac:dyDescent="0.35">
      <c r="E94" s="19">
        <v>44944</v>
      </c>
      <c r="G94" s="19">
        <v>45027</v>
      </c>
      <c r="I94" s="35"/>
      <c r="J94" s="38"/>
      <c r="L94" s="8"/>
    </row>
    <row r="95" spans="1:13" x14ac:dyDescent="0.35">
      <c r="A95" t="s">
        <v>108</v>
      </c>
      <c r="B95" s="2" t="s">
        <v>94</v>
      </c>
      <c r="C95" s="2" t="s">
        <v>23</v>
      </c>
      <c r="D95" s="2" t="s">
        <v>118</v>
      </c>
      <c r="E95" s="2" t="s">
        <v>95</v>
      </c>
      <c r="F95" s="2" t="s">
        <v>104</v>
      </c>
      <c r="G95" s="2" t="s">
        <v>96</v>
      </c>
      <c r="H95" s="2"/>
      <c r="J95" s="142"/>
    </row>
    <row r="96" spans="1:13" x14ac:dyDescent="0.35">
      <c r="A96" t="s">
        <v>109</v>
      </c>
      <c r="B96" s="21">
        <v>44662</v>
      </c>
      <c r="C96" s="2" t="s">
        <v>61</v>
      </c>
      <c r="D96" s="2">
        <v>0</v>
      </c>
      <c r="E96" s="26">
        <v>0</v>
      </c>
      <c r="F96">
        <v>1561</v>
      </c>
      <c r="G96" s="8">
        <f>(F96/6500)*40</f>
        <v>9.6061538461538465</v>
      </c>
      <c r="I96" s="2"/>
      <c r="J96" s="2"/>
    </row>
    <row r="97" spans="1:10" x14ac:dyDescent="0.35">
      <c r="A97" t="s">
        <v>110</v>
      </c>
      <c r="B97" s="21">
        <v>44662</v>
      </c>
      <c r="C97" s="2" t="s">
        <v>61</v>
      </c>
      <c r="D97" s="2">
        <v>0</v>
      </c>
      <c r="E97" s="26">
        <v>0</v>
      </c>
      <c r="F97" s="12">
        <v>6720</v>
      </c>
      <c r="G97" s="8">
        <f>(F97/32250)*100</f>
        <v>20.837209302325583</v>
      </c>
    </row>
    <row r="98" spans="1:10" x14ac:dyDescent="0.35">
      <c r="A98" t="s">
        <v>111</v>
      </c>
      <c r="B98" s="21">
        <v>44662</v>
      </c>
      <c r="C98" s="2" t="s">
        <v>61</v>
      </c>
      <c r="D98" s="2">
        <v>0</v>
      </c>
      <c r="E98" s="26">
        <v>0</v>
      </c>
      <c r="F98" s="12">
        <v>17430</v>
      </c>
      <c r="G98" s="8">
        <f>(F98/52500)*50</f>
        <v>16.600000000000001</v>
      </c>
    </row>
    <row r="99" spans="1:10" x14ac:dyDescent="0.35">
      <c r="A99" t="s">
        <v>112</v>
      </c>
      <c r="B99" s="21">
        <v>44662</v>
      </c>
      <c r="C99" s="2" t="s">
        <v>50</v>
      </c>
      <c r="D99" s="2">
        <v>0</v>
      </c>
      <c r="E99" s="26">
        <v>0</v>
      </c>
      <c r="F99" s="4">
        <v>16.64</v>
      </c>
      <c r="G99" s="8">
        <f>Table35[[#This Row],[Account Status (Coin)]]</f>
        <v>16.64</v>
      </c>
    </row>
    <row r="100" spans="1:10" x14ac:dyDescent="0.35">
      <c r="A100" t="s">
        <v>135</v>
      </c>
      <c r="B100" s="21">
        <v>44944</v>
      </c>
      <c r="C100" s="2" t="s">
        <v>61</v>
      </c>
      <c r="D100" s="2">
        <v>0</v>
      </c>
      <c r="E100" s="26">
        <v>0</v>
      </c>
      <c r="F100" s="24">
        <v>275</v>
      </c>
      <c r="G100" s="8">
        <f>(Table35[[#This Row],[Account Status (Coin)]]/1000)*5</f>
        <v>1.375</v>
      </c>
    </row>
    <row r="101" spans="1:10" x14ac:dyDescent="0.35">
      <c r="A101" t="s">
        <v>137</v>
      </c>
      <c r="B101" s="21">
        <v>44944</v>
      </c>
      <c r="C101" s="2" t="s">
        <v>61</v>
      </c>
      <c r="D101" s="2">
        <v>0</v>
      </c>
      <c r="E101" s="26">
        <v>0</v>
      </c>
      <c r="F101" s="24">
        <v>1906</v>
      </c>
      <c r="G101" s="8">
        <f>(Table35[[#This Row],[Account Status (Coin)]]/1000)*1</f>
        <v>1.9059999999999999</v>
      </c>
    </row>
    <row r="102" spans="1:10" x14ac:dyDescent="0.35">
      <c r="A102" t="s">
        <v>113</v>
      </c>
      <c r="B102" s="21">
        <v>44662</v>
      </c>
      <c r="C102" s="2" t="s">
        <v>50</v>
      </c>
      <c r="D102" s="2">
        <v>0</v>
      </c>
      <c r="E102" s="26">
        <v>0</v>
      </c>
      <c r="F102" s="4">
        <v>1.85</v>
      </c>
      <c r="G102" s="8">
        <f>Table35[[#This Row],[Account Status (Coin)]]</f>
        <v>1.85</v>
      </c>
    </row>
    <row r="103" spans="1:10" x14ac:dyDescent="0.35">
      <c r="A103" t="s">
        <v>136</v>
      </c>
      <c r="B103" s="21">
        <v>44944</v>
      </c>
      <c r="C103" s="2" t="s">
        <v>50</v>
      </c>
      <c r="D103" s="2">
        <v>0</v>
      </c>
      <c r="E103" s="26">
        <v>0</v>
      </c>
      <c r="F103" s="4">
        <v>0</v>
      </c>
      <c r="G103" s="8">
        <v>5</v>
      </c>
    </row>
    <row r="104" spans="1:10" x14ac:dyDescent="0.35">
      <c r="B104" s="21"/>
      <c r="C104" s="2"/>
      <c r="D104" s="4"/>
      <c r="E104" s="4"/>
    </row>
    <row r="105" spans="1:10" x14ac:dyDescent="0.35">
      <c r="B105" s="2"/>
      <c r="C105" s="2"/>
      <c r="E105" s="19">
        <v>44579</v>
      </c>
      <c r="F105" s="19"/>
      <c r="G105" s="19">
        <v>45027</v>
      </c>
    </row>
    <row r="106" spans="1:10" x14ac:dyDescent="0.35">
      <c r="A106" t="s">
        <v>98</v>
      </c>
      <c r="B106" s="2" t="s">
        <v>94</v>
      </c>
      <c r="C106" s="2" t="s">
        <v>23</v>
      </c>
      <c r="D106" s="2" t="s">
        <v>118</v>
      </c>
      <c r="E106" s="2" t="s">
        <v>95</v>
      </c>
      <c r="F106" s="2" t="s">
        <v>104</v>
      </c>
      <c r="G106" s="2" t="s">
        <v>96</v>
      </c>
      <c r="H106" s="2"/>
    </row>
    <row r="107" spans="1:10" x14ac:dyDescent="0.35">
      <c r="A107" t="s">
        <v>99</v>
      </c>
      <c r="B107" s="21">
        <v>44652</v>
      </c>
      <c r="C107" s="2" t="s">
        <v>50</v>
      </c>
      <c r="D107" s="25">
        <v>12.04</v>
      </c>
      <c r="E107" s="8">
        <f>Table2152[[#This Row],[Start Amount (Coin)]]</f>
        <v>12.04</v>
      </c>
      <c r="F107" s="25">
        <v>32.39</v>
      </c>
      <c r="G107" s="8">
        <f>Table2152[[#This Row],[Account Status (Coin)]]</f>
        <v>32.39</v>
      </c>
      <c r="I107" s="2"/>
    </row>
    <row r="108" spans="1:10" x14ac:dyDescent="0.35">
      <c r="A108" t="s">
        <v>13</v>
      </c>
      <c r="B108" s="21">
        <v>44661</v>
      </c>
      <c r="C108" s="2" t="s">
        <v>50</v>
      </c>
      <c r="D108" s="25">
        <v>9.85</v>
      </c>
      <c r="E108" s="8">
        <f>Table2152[[#This Row],[Start Amount (Coin)]]</f>
        <v>9.85</v>
      </c>
      <c r="F108" s="25">
        <v>55.53</v>
      </c>
      <c r="G108" s="8">
        <f>Table2152[[#This Row],[Account Status (Coin)]]</f>
        <v>55.53</v>
      </c>
    </row>
    <row r="109" spans="1:10" x14ac:dyDescent="0.35">
      <c r="B109" s="2"/>
      <c r="J109" s="4"/>
    </row>
    <row r="110" spans="1:10" x14ac:dyDescent="0.35">
      <c r="B110" s="2"/>
      <c r="C110" s="6"/>
    </row>
    <row r="111" spans="1:10" x14ac:dyDescent="0.35">
      <c r="A111" t="s">
        <v>1175</v>
      </c>
      <c r="B111" s="2" t="s">
        <v>94</v>
      </c>
      <c r="C111" s="2" t="s">
        <v>1158</v>
      </c>
      <c r="D111" s="2" t="s">
        <v>23</v>
      </c>
      <c r="E111" s="2" t="s">
        <v>100</v>
      </c>
      <c r="F111" s="2" t="s">
        <v>1231</v>
      </c>
      <c r="G111" t="s">
        <v>343</v>
      </c>
    </row>
    <row r="112" spans="1:10" x14ac:dyDescent="0.35">
      <c r="A112" t="s">
        <v>101</v>
      </c>
      <c r="B112" s="21">
        <v>44652</v>
      </c>
      <c r="C112" s="21">
        <v>45103</v>
      </c>
      <c r="D112" s="2" t="s">
        <v>50</v>
      </c>
      <c r="E112" s="8">
        <v>50</v>
      </c>
      <c r="F112" s="8"/>
    </row>
    <row r="113" spans="1:10" x14ac:dyDescent="0.35">
      <c r="A113" t="s">
        <v>102</v>
      </c>
      <c r="B113" s="21">
        <v>44661</v>
      </c>
      <c r="C113" s="21">
        <v>45111</v>
      </c>
      <c r="D113" s="2" t="s">
        <v>50</v>
      </c>
      <c r="E113" s="8">
        <v>100</v>
      </c>
      <c r="F113" s="8"/>
    </row>
    <row r="114" spans="1:10" x14ac:dyDescent="0.35">
      <c r="A114" t="s">
        <v>103</v>
      </c>
      <c r="B114" s="21">
        <v>44797</v>
      </c>
      <c r="C114" s="21" t="s">
        <v>145</v>
      </c>
      <c r="D114" s="2" t="s">
        <v>50</v>
      </c>
      <c r="E114" s="2" t="s">
        <v>138</v>
      </c>
      <c r="F114" s="2"/>
      <c r="G114" t="s">
        <v>943</v>
      </c>
    </row>
    <row r="115" spans="1:10" x14ac:dyDescent="0.35">
      <c r="A115" t="s">
        <v>144</v>
      </c>
      <c r="B115" s="21">
        <v>44980</v>
      </c>
      <c r="C115" s="21" t="s">
        <v>145</v>
      </c>
      <c r="D115" s="2" t="s">
        <v>50</v>
      </c>
      <c r="E115" s="2" t="s">
        <v>138</v>
      </c>
      <c r="F115" s="2"/>
      <c r="G115" t="s">
        <v>944</v>
      </c>
    </row>
    <row r="116" spans="1:10" x14ac:dyDescent="0.35">
      <c r="A116" t="s">
        <v>998</v>
      </c>
      <c r="B116" s="21">
        <v>45061</v>
      </c>
      <c r="C116" s="21">
        <v>45097</v>
      </c>
      <c r="D116" s="2" t="s">
        <v>50</v>
      </c>
      <c r="E116" s="26">
        <v>13</v>
      </c>
      <c r="F116" s="26"/>
      <c r="G116" t="s">
        <v>1034</v>
      </c>
    </row>
    <row r="117" spans="1:10" x14ac:dyDescent="0.35">
      <c r="A117" t="s">
        <v>1157</v>
      </c>
      <c r="B117" s="21">
        <v>45104</v>
      </c>
      <c r="C117" s="21"/>
      <c r="D117" s="2" t="s">
        <v>50</v>
      </c>
      <c r="E117" s="26"/>
      <c r="F117" s="26"/>
    </row>
    <row r="118" spans="1:10" x14ac:dyDescent="0.35">
      <c r="A118" t="s">
        <v>1155</v>
      </c>
      <c r="B118" s="21">
        <v>45120</v>
      </c>
      <c r="C118" s="21">
        <v>45127</v>
      </c>
      <c r="D118" s="2" t="s">
        <v>50</v>
      </c>
      <c r="E118" s="26">
        <v>17.2</v>
      </c>
      <c r="F118" s="26"/>
      <c r="G118" t="s">
        <v>1153</v>
      </c>
    </row>
    <row r="119" spans="1:10" x14ac:dyDescent="0.35">
      <c r="A119" t="s">
        <v>1156</v>
      </c>
      <c r="B119" s="21">
        <v>45177</v>
      </c>
      <c r="C119" s="21">
        <v>45187</v>
      </c>
      <c r="D119" s="2" t="s">
        <v>50</v>
      </c>
      <c r="E119" s="26">
        <v>3</v>
      </c>
      <c r="F119" s="26"/>
      <c r="G119" t="s">
        <v>1154</v>
      </c>
    </row>
    <row r="120" spans="1:10" x14ac:dyDescent="0.35">
      <c r="A120" t="s">
        <v>1230</v>
      </c>
      <c r="B120" s="21">
        <v>41617</v>
      </c>
      <c r="C120" s="21">
        <v>45272</v>
      </c>
      <c r="D120" s="2" t="s">
        <v>50</v>
      </c>
      <c r="E120" s="26">
        <v>0</v>
      </c>
      <c r="F120" s="26">
        <v>16</v>
      </c>
    </row>
    <row r="121" spans="1:10" x14ac:dyDescent="0.35">
      <c r="A121" t="s">
        <v>1255</v>
      </c>
      <c r="B121" s="21">
        <v>44937</v>
      </c>
      <c r="C121" s="21"/>
      <c r="D121" s="2"/>
      <c r="E121" s="26"/>
      <c r="F121" s="26"/>
    </row>
    <row r="122" spans="1:10" x14ac:dyDescent="0.35">
      <c r="B122" s="21">
        <v>41683</v>
      </c>
      <c r="C122" s="21"/>
      <c r="D122" s="2"/>
      <c r="E122" s="26"/>
      <c r="F122" s="26"/>
    </row>
    <row r="123" spans="1:10" x14ac:dyDescent="0.35">
      <c r="B123" s="21"/>
      <c r="C123" s="2"/>
      <c r="D123" s="4"/>
      <c r="E123" s="4"/>
      <c r="H123" s="2"/>
    </row>
    <row r="124" spans="1:10" ht="23.5" x14ac:dyDescent="0.55000000000000004">
      <c r="A124" s="29" t="s">
        <v>139</v>
      </c>
      <c r="F124" s="21">
        <v>44579</v>
      </c>
      <c r="I124" s="2"/>
      <c r="J124" s="2"/>
    </row>
    <row r="125" spans="1:10" x14ac:dyDescent="0.35">
      <c r="A125" t="s">
        <v>93</v>
      </c>
      <c r="B125" s="2" t="s">
        <v>94</v>
      </c>
      <c r="C125" s="2" t="s">
        <v>23</v>
      </c>
      <c r="D125" s="2" t="s">
        <v>118</v>
      </c>
      <c r="E125" s="2" t="s">
        <v>95</v>
      </c>
      <c r="F125" s="2" t="s">
        <v>104</v>
      </c>
      <c r="G125" s="2" t="s">
        <v>96</v>
      </c>
    </row>
    <row r="126" spans="1:10" x14ac:dyDescent="0.35">
      <c r="A126" t="s">
        <v>5</v>
      </c>
      <c r="B126" s="21">
        <v>44652</v>
      </c>
      <c r="C126" s="2" t="s">
        <v>14</v>
      </c>
      <c r="D126">
        <v>3.3702E-4</v>
      </c>
      <c r="E126" s="22">
        <f>Table1450[[#This Row],[Start Amount (Coin)]]*'Crypto Market Price Data'!$C$5</f>
        <v>28.6450149</v>
      </c>
      <c r="F126" s="23">
        <v>1.2828399999999999E-3</v>
      </c>
      <c r="G126" s="22">
        <f>Table1450[[#This Row],[Account Status (Coin)]]*'Crypto Market Price Data'!$C$5</f>
        <v>109.0349858</v>
      </c>
      <c r="H126" s="2"/>
    </row>
    <row r="127" spans="1:10" x14ac:dyDescent="0.35">
      <c r="B127" s="21"/>
      <c r="C127" s="2"/>
      <c r="E127" s="22"/>
      <c r="F127" s="23"/>
      <c r="G127" s="22"/>
      <c r="H127" s="2"/>
      <c r="I127" s="2"/>
    </row>
    <row r="128" spans="1:10" x14ac:dyDescent="0.35">
      <c r="D128" s="2"/>
      <c r="E128" s="2"/>
      <c r="F128" s="21">
        <v>44579</v>
      </c>
      <c r="G128" s="2"/>
      <c r="I128" s="2"/>
      <c r="J128" s="2"/>
    </row>
    <row r="129" spans="1:20" x14ac:dyDescent="0.35">
      <c r="A129" t="s">
        <v>127</v>
      </c>
      <c r="B129" s="2" t="s">
        <v>94</v>
      </c>
      <c r="C129" s="2" t="s">
        <v>23</v>
      </c>
      <c r="D129" s="2" t="s">
        <v>118</v>
      </c>
      <c r="E129" s="2" t="s">
        <v>125</v>
      </c>
      <c r="F129" s="2" t="s">
        <v>104</v>
      </c>
      <c r="G129" s="2" t="s">
        <v>96</v>
      </c>
    </row>
    <row r="130" spans="1:20" x14ac:dyDescent="0.35">
      <c r="A130" t="s">
        <v>8</v>
      </c>
      <c r="B130" s="2"/>
      <c r="C130" s="2"/>
    </row>
    <row r="131" spans="1:20" x14ac:dyDescent="0.35">
      <c r="A131" t="s">
        <v>128</v>
      </c>
      <c r="B131" s="21">
        <v>40756</v>
      </c>
      <c r="C131" s="2" t="s">
        <v>19</v>
      </c>
      <c r="D131">
        <v>3.5556000000000001</v>
      </c>
      <c r="E131" s="8">
        <f>Table4458[[#This Row],[Start Amount (Coin)]]*'Crypto Market Price Data'!$C$22</f>
        <v>0.19921671240000002</v>
      </c>
      <c r="F131">
        <v>23.67</v>
      </c>
      <c r="G131" s="8">
        <f>Table4458[[#This Row],[Account Status (Coin)]]*'Crypto Market Price Data'!$C$22</f>
        <v>1.32620643</v>
      </c>
    </row>
    <row r="132" spans="1:20" x14ac:dyDescent="0.35">
      <c r="A132" t="s">
        <v>129</v>
      </c>
      <c r="B132" s="21">
        <v>40756</v>
      </c>
      <c r="C132" s="2" t="s">
        <v>16</v>
      </c>
      <c r="D132">
        <v>0</v>
      </c>
      <c r="E132" s="8">
        <v>0</v>
      </c>
      <c r="F132">
        <v>6.9164000000000003</v>
      </c>
      <c r="G132" s="8">
        <f>Table4458[[#This Row],[Account Status (Coin)]]*'Crypto Market Price Data'!$C$11</f>
        <v>6.9127273916000007</v>
      </c>
    </row>
    <row r="133" spans="1:20" x14ac:dyDescent="0.35">
      <c r="A133" t="s">
        <v>130</v>
      </c>
      <c r="B133" s="21">
        <v>40756</v>
      </c>
      <c r="C133" s="2" t="s">
        <v>19</v>
      </c>
      <c r="D133">
        <v>2.0901000000000001</v>
      </c>
      <c r="E133" s="8">
        <f>Table4458[[#This Row],[Start Amount (Coin)]]*'Crypto Market Price Data'!$C$22</f>
        <v>0.11710621290000001</v>
      </c>
      <c r="F133">
        <v>16.07</v>
      </c>
      <c r="G133" s="8">
        <f>Table4458[[#This Row],[Account Status (Coin)]]*'Crypto Market Price Data'!$C$22</f>
        <v>0.90038603000000006</v>
      </c>
    </row>
    <row r="134" spans="1:20" x14ac:dyDescent="0.35">
      <c r="A134" t="s">
        <v>129</v>
      </c>
      <c r="B134" s="21">
        <v>44774</v>
      </c>
      <c r="C134" s="2" t="s">
        <v>16</v>
      </c>
      <c r="D134">
        <v>0</v>
      </c>
      <c r="E134" s="8">
        <v>0</v>
      </c>
      <c r="F134">
        <v>4.2301000000000002</v>
      </c>
      <c r="G134" s="8">
        <f>Table4458[[#This Row],[Account Status (Coin)]]*'Crypto Market Price Data'!$C$11</f>
        <v>4.2278538169000006</v>
      </c>
    </row>
    <row r="135" spans="1:20" x14ac:dyDescent="0.35">
      <c r="B135" s="2"/>
      <c r="C135" s="2"/>
      <c r="H135" s="2"/>
    </row>
    <row r="136" spans="1:20" x14ac:dyDescent="0.35">
      <c r="B136" s="2"/>
      <c r="C136" s="2"/>
      <c r="I136" s="2"/>
      <c r="J136" s="2"/>
    </row>
    <row r="137" spans="1:20" x14ac:dyDescent="0.35">
      <c r="A137" t="s">
        <v>131</v>
      </c>
      <c r="B137" s="2" t="s">
        <v>94</v>
      </c>
      <c r="C137" s="2" t="s">
        <v>23</v>
      </c>
      <c r="D137" s="2" t="s">
        <v>118</v>
      </c>
      <c r="E137" s="2" t="s">
        <v>125</v>
      </c>
      <c r="F137" s="2" t="s">
        <v>104</v>
      </c>
      <c r="G137" s="2" t="s">
        <v>96</v>
      </c>
    </row>
    <row r="138" spans="1:20" x14ac:dyDescent="0.35">
      <c r="A138" t="s">
        <v>4</v>
      </c>
      <c r="B138" s="21">
        <v>44724</v>
      </c>
      <c r="C138" s="2" t="s">
        <v>14</v>
      </c>
      <c r="D138">
        <v>3.9019E-4</v>
      </c>
      <c r="E138" s="8">
        <f>Table4659[[#This Row],[Start Amount (Coin)]]*'Crypto Market Price Data'!$C$5</f>
        <v>33.164199050000001</v>
      </c>
      <c r="F138">
        <v>2.0350300000000002E-3</v>
      </c>
      <c r="G138" s="8">
        <f>Table4659[[#This Row],[Account Status (Coin)]]*'Crypto Market Price Data'!$C$5</f>
        <v>172.96737485000003</v>
      </c>
    </row>
    <row r="139" spans="1:20" x14ac:dyDescent="0.35">
      <c r="B139" s="2"/>
      <c r="C139" s="2"/>
      <c r="H139" s="2"/>
      <c r="N139" t="s">
        <v>6</v>
      </c>
      <c r="T139" t="s">
        <v>148</v>
      </c>
    </row>
    <row r="140" spans="1:20" x14ac:dyDescent="0.35">
      <c r="B140" s="2"/>
      <c r="C140" s="2"/>
      <c r="I140" s="2"/>
      <c r="J140" s="2"/>
      <c r="N140" t="s">
        <v>116</v>
      </c>
      <c r="O140" t="s">
        <v>23</v>
      </c>
      <c r="P140" t="s">
        <v>117</v>
      </c>
      <c r="Q140" t="s">
        <v>118</v>
      </c>
      <c r="R140" t="s">
        <v>119</v>
      </c>
      <c r="S140" t="s">
        <v>120</v>
      </c>
      <c r="T140" t="s">
        <v>121</v>
      </c>
    </row>
    <row r="141" spans="1:20" x14ac:dyDescent="0.35">
      <c r="A141" t="s">
        <v>1</v>
      </c>
      <c r="B141" s="2" t="s">
        <v>94</v>
      </c>
      <c r="C141" s="2" t="s">
        <v>23</v>
      </c>
      <c r="D141" s="2" t="s">
        <v>118</v>
      </c>
      <c r="E141" s="2" t="s">
        <v>125</v>
      </c>
      <c r="F141" s="2" t="s">
        <v>104</v>
      </c>
      <c r="G141" s="2" t="s">
        <v>96</v>
      </c>
      <c r="N141">
        <v>44592</v>
      </c>
      <c r="O141" t="s">
        <v>18</v>
      </c>
      <c r="P141">
        <v>52.3</v>
      </c>
      <c r="Q141">
        <v>9.4184999999999999</v>
      </c>
      <c r="R141">
        <f>P141*Q141</f>
        <v>492.58754999999996</v>
      </c>
      <c r="S141">
        <v>0.63</v>
      </c>
      <c r="T141" t="e">
        <f>(#REF!*S141)/365</f>
        <v>#REF!</v>
      </c>
    </row>
    <row r="142" spans="1:20" x14ac:dyDescent="0.35">
      <c r="A142" t="s">
        <v>2</v>
      </c>
      <c r="B142" s="2"/>
      <c r="C142" s="2"/>
    </row>
    <row r="143" spans="1:20" x14ac:dyDescent="0.35">
      <c r="A143" t="s">
        <v>133</v>
      </c>
      <c r="B143" s="2" t="s">
        <v>132</v>
      </c>
      <c r="C143" s="2" t="s">
        <v>20</v>
      </c>
      <c r="D143">
        <v>0</v>
      </c>
      <c r="E143" s="8">
        <v>0</v>
      </c>
      <c r="F143">
        <v>26.62</v>
      </c>
      <c r="G143" s="8">
        <f>Table4760[[#This Row],[Account Status (Coin)]]*'Crypto Market Price Data'!$C$34</f>
        <v>19.838235560000001</v>
      </c>
      <c r="N143" t="s">
        <v>146</v>
      </c>
      <c r="O143" t="s">
        <v>105</v>
      </c>
      <c r="P143" t="s">
        <v>97</v>
      </c>
      <c r="Q143" t="s">
        <v>147</v>
      </c>
    </row>
    <row r="144" spans="1:20" x14ac:dyDescent="0.35">
      <c r="A144" t="s">
        <v>3</v>
      </c>
      <c r="B144" s="21">
        <v>44722</v>
      </c>
      <c r="C144" s="2" t="s">
        <v>50</v>
      </c>
      <c r="D144" s="28">
        <v>0</v>
      </c>
      <c r="E144" s="8">
        <v>0</v>
      </c>
      <c r="F144" s="64">
        <v>6.2939999999999996</v>
      </c>
      <c r="G144" s="8">
        <f>Table4760[[#This Row],[Account Status (Coin)]]</f>
        <v>6.2939999999999996</v>
      </c>
      <c r="N144">
        <v>1</v>
      </c>
    </row>
    <row r="145" spans="1:14" x14ac:dyDescent="0.35">
      <c r="B145" s="2"/>
      <c r="C145" s="2"/>
      <c r="H145" s="2"/>
      <c r="N145">
        <v>2</v>
      </c>
    </row>
    <row r="146" spans="1:14" x14ac:dyDescent="0.35">
      <c r="B146" s="2"/>
      <c r="C146" s="2"/>
      <c r="I146" s="2"/>
      <c r="J146" s="2"/>
      <c r="N146">
        <v>3</v>
      </c>
    </row>
    <row r="147" spans="1:14" x14ac:dyDescent="0.35">
      <c r="A147" t="s">
        <v>0</v>
      </c>
      <c r="B147" s="2" t="s">
        <v>94</v>
      </c>
      <c r="C147" s="2" t="s">
        <v>23</v>
      </c>
      <c r="D147" s="2" t="s">
        <v>118</v>
      </c>
      <c r="E147" s="2" t="s">
        <v>125</v>
      </c>
      <c r="F147" s="2" t="s">
        <v>104</v>
      </c>
      <c r="G147" s="2" t="s">
        <v>96</v>
      </c>
    </row>
    <row r="148" spans="1:14" x14ac:dyDescent="0.35">
      <c r="A148" t="s">
        <v>134</v>
      </c>
      <c r="B148" s="21">
        <v>44724</v>
      </c>
      <c r="C148" s="2" t="s">
        <v>17</v>
      </c>
      <c r="D148">
        <v>3.9019E-4</v>
      </c>
      <c r="E148" s="8">
        <f>Table3961[[#This Row],[Start Amount (Coin)]]*'Crypto Market Price Data'!$C$13</f>
        <v>9.7304411629999999E-5</v>
      </c>
      <c r="F148">
        <v>143.505</v>
      </c>
      <c r="G148" s="8">
        <f>Table3961[[#This Row],[Account Status (Coin)]]*'Crypto Market Price Data'!$C$13</f>
        <v>35.786846384999997</v>
      </c>
    </row>
    <row r="149" spans="1:14" x14ac:dyDescent="0.35">
      <c r="B149" s="21"/>
      <c r="C149" s="2"/>
      <c r="E149" s="8"/>
      <c r="G149" s="8"/>
    </row>
    <row r="150" spans="1:14" x14ac:dyDescent="0.35">
      <c r="B150" s="21"/>
      <c r="C150" s="2"/>
      <c r="E150" s="8"/>
      <c r="G150" s="8"/>
    </row>
  </sheetData>
  <mergeCells count="2">
    <mergeCell ref="A1:B1"/>
    <mergeCell ref="A2:B2"/>
  </mergeCells>
  <phoneticPr fontId="2" type="noConversion"/>
  <pageMargins left="0.7" right="0.7" top="0.75" bottom="0.75" header="0.3" footer="0.3"/>
  <pageSetup orientation="portrait" r:id="rId1"/>
  <ignoredErrors>
    <ignoredError sqref="B143" twoDigitTextYear="1"/>
  </ignoredErrors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12B9-4D83-40F9-A96D-EBB07E2A5394}">
  <sheetPr codeName="Sheet8">
    <tabColor theme="5" tint="0.39997558519241921"/>
  </sheetPr>
  <dimension ref="A1:N66"/>
  <sheetViews>
    <sheetView zoomScale="66" zoomScaleNormal="73" workbookViewId="0">
      <selection sqref="A1:B1"/>
    </sheetView>
  </sheetViews>
  <sheetFormatPr defaultRowHeight="14.5" x14ac:dyDescent="0.35"/>
  <cols>
    <col min="1" max="3" width="31" customWidth="1"/>
    <col min="4" max="4" width="29" customWidth="1"/>
    <col min="5" max="5" width="23.453125" customWidth="1"/>
    <col min="6" max="6" width="25.453125" bestFit="1" customWidth="1"/>
    <col min="7" max="7" width="30.08984375" customWidth="1"/>
    <col min="8" max="8" width="22.6328125" customWidth="1"/>
    <col min="9" max="9" width="19.453125" customWidth="1"/>
    <col min="10" max="10" width="20.54296875" customWidth="1"/>
    <col min="11" max="11" width="21.90625" customWidth="1"/>
    <col min="12" max="14" width="22.6328125" customWidth="1"/>
  </cols>
  <sheetData>
    <row r="1" spans="1:13" ht="23.5" x14ac:dyDescent="0.55000000000000004">
      <c r="A1" s="169" t="s">
        <v>1450</v>
      </c>
      <c r="B1" s="169"/>
    </row>
    <row r="2" spans="1:13" ht="18.5" x14ac:dyDescent="0.45">
      <c r="A2" s="170" t="s">
        <v>1386</v>
      </c>
      <c r="B2" s="170"/>
    </row>
    <row r="5" spans="1:13" ht="17" x14ac:dyDescent="0.4">
      <c r="A5" s="7" t="s">
        <v>21</v>
      </c>
    </row>
    <row r="6" spans="1:13" x14ac:dyDescent="0.35">
      <c r="A6" t="s">
        <v>22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</row>
    <row r="7" spans="1:13" x14ac:dyDescent="0.35">
      <c r="A7" t="s">
        <v>33</v>
      </c>
      <c r="B7" t="s">
        <v>36</v>
      </c>
      <c r="C7" s="2" t="s">
        <v>34</v>
      </c>
      <c r="D7">
        <v>23.1</v>
      </c>
      <c r="E7">
        <v>15037.213229999999</v>
      </c>
      <c r="F7">
        <f>Table27[[#This Row],[Profit/Day (Coin)]]*7</f>
        <v>105260.49261</v>
      </c>
      <c r="G7">
        <f>Table27[[#This Row],[Profit/Day (Coin)]]*30</f>
        <v>451116.39689999999</v>
      </c>
      <c r="H7">
        <f>Table27[[#This Row],[Profit/Month (Coin)]]*12</f>
        <v>5413396.7627999997</v>
      </c>
      <c r="I7" s="47">
        <f>Table27[[#This Row],[Profit/Day (Coin)]]*'Crypto Market Price Data'!$C$10</f>
        <v>0.118793984517</v>
      </c>
      <c r="J7" s="47">
        <f>Table27[[#This Row],[Profit/Week (Coin)]]*'Crypto Market Price Data'!$C$10</f>
        <v>0.83155789161900007</v>
      </c>
      <c r="K7" s="47">
        <f>Table27[[#This Row],[Profit/Month (Coin)]]*'Crypto Market Price Data'!$C$10</f>
        <v>3.5638195355100004</v>
      </c>
      <c r="L7" s="47">
        <f>Table27[[#This Row],[Profit/Year (Coin)]]*'Crypto Market Price Data'!$C$10</f>
        <v>42.765834426120001</v>
      </c>
    </row>
    <row r="8" spans="1:13" x14ac:dyDescent="0.35">
      <c r="C8" s="2"/>
      <c r="I8" s="8"/>
      <c r="J8" s="8"/>
      <c r="K8" s="8"/>
      <c r="L8" s="8"/>
    </row>
    <row r="9" spans="1:13" x14ac:dyDescent="0.35">
      <c r="H9" s="16" t="s">
        <v>35</v>
      </c>
      <c r="I9" s="10">
        <f>I7</f>
        <v>0.118793984517</v>
      </c>
      <c r="J9" s="10">
        <f>J7</f>
        <v>0.83155789161900007</v>
      </c>
      <c r="K9" s="10">
        <f>K7</f>
        <v>3.5638195355100004</v>
      </c>
      <c r="L9" s="10">
        <f>L7</f>
        <v>42.765834426120001</v>
      </c>
    </row>
    <row r="11" spans="1:13" ht="17" x14ac:dyDescent="0.4">
      <c r="A11" s="7" t="s">
        <v>37</v>
      </c>
    </row>
    <row r="12" spans="1:13" x14ac:dyDescent="0.35">
      <c r="A12" t="s">
        <v>22</v>
      </c>
      <c r="B12" s="2" t="s">
        <v>12</v>
      </c>
      <c r="C12" s="2" t="s">
        <v>23</v>
      </c>
      <c r="D12" s="2" t="s">
        <v>38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32</v>
      </c>
    </row>
    <row r="13" spans="1:13" x14ac:dyDescent="0.35">
      <c r="A13" t="s">
        <v>39</v>
      </c>
      <c r="B13" s="2" t="s">
        <v>46</v>
      </c>
      <c r="C13" s="2" t="s">
        <v>14</v>
      </c>
      <c r="D13">
        <v>1</v>
      </c>
      <c r="E13">
        <v>1.08E-5</v>
      </c>
      <c r="F13">
        <f>Table28[[#This Row],[Profit/Day (Coin)]]*7</f>
        <v>7.5599999999999994E-5</v>
      </c>
      <c r="G13">
        <f>Table28[[#This Row],[Profit/Day (Coin)]]*30</f>
        <v>3.2400000000000001E-4</v>
      </c>
      <c r="H13">
        <f>Table28[[#This Row],[Profit/Month (Coin)]]*12</f>
        <v>3.888E-3</v>
      </c>
      <c r="I13" s="4">
        <f>Table28[[#This Row],[Profit/Day (Coin)]]*'Crypto Market Price Data'!$C$5</f>
        <v>0.91794600000000004</v>
      </c>
      <c r="J13" s="4">
        <f>Table28[[#This Row],[Profit/Week (Coin)]]*'Crypto Market Price Data'!$C$5</f>
        <v>6.4256219999999997</v>
      </c>
      <c r="K13" s="4">
        <f>Table28[[#This Row],[Profit/Month (Coin)]]*'Crypto Market Price Data'!$C$5</f>
        <v>27.53838</v>
      </c>
      <c r="L13" s="4">
        <f>Table28[[#This Row],[Profit/Year (Coin)]]*'Crypto Market Price Data'!$C$5</f>
        <v>330.46055999999999</v>
      </c>
      <c r="M13" t="s">
        <v>40</v>
      </c>
    </row>
    <row r="14" spans="1:13" x14ac:dyDescent="0.35">
      <c r="B14" s="2"/>
      <c r="C14" s="2"/>
      <c r="I14" s="4"/>
      <c r="J14" s="4"/>
      <c r="K14" s="4"/>
      <c r="L14" s="4"/>
    </row>
    <row r="15" spans="1:13" x14ac:dyDescent="0.35">
      <c r="B15" s="2"/>
      <c r="C15" s="2"/>
      <c r="H15" s="16" t="s">
        <v>35</v>
      </c>
      <c r="I15" s="11">
        <f>I13</f>
        <v>0.91794600000000004</v>
      </c>
      <c r="J15" s="11">
        <f>J13</f>
        <v>6.4256219999999997</v>
      </c>
      <c r="K15" s="11">
        <f>K13</f>
        <v>27.53838</v>
      </c>
      <c r="L15" s="11">
        <f>L13</f>
        <v>330.46055999999999</v>
      </c>
      <c r="M15" t="s">
        <v>41</v>
      </c>
    </row>
    <row r="16" spans="1:13" x14ac:dyDescent="0.35">
      <c r="B16" s="2"/>
      <c r="C16" s="2"/>
    </row>
    <row r="17" spans="1:12" ht="17" x14ac:dyDescent="0.4">
      <c r="A17" s="7" t="s">
        <v>42</v>
      </c>
      <c r="B17" s="2"/>
      <c r="C17" s="2"/>
    </row>
    <row r="18" spans="1:12" x14ac:dyDescent="0.35">
      <c r="A18" t="s">
        <v>22</v>
      </c>
      <c r="B18" s="2" t="s">
        <v>47</v>
      </c>
      <c r="C18" s="2" t="s">
        <v>23</v>
      </c>
      <c r="D18" s="2" t="s">
        <v>43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32</v>
      </c>
    </row>
    <row r="19" spans="1:12" x14ac:dyDescent="0.35">
      <c r="A19" t="s">
        <v>2</v>
      </c>
      <c r="B19" s="2"/>
      <c r="C19" s="2"/>
    </row>
    <row r="20" spans="1:12" x14ac:dyDescent="0.35">
      <c r="A20" t="s">
        <v>45</v>
      </c>
      <c r="B20" s="2" t="s">
        <v>46</v>
      </c>
      <c r="C20" s="2" t="s">
        <v>14</v>
      </c>
      <c r="D20">
        <v>3</v>
      </c>
      <c r="E20">
        <v>120</v>
      </c>
      <c r="F20">
        <f>Table29[[#This Row],[Profit/Day (Coin)]]*7</f>
        <v>840</v>
      </c>
      <c r="G20" s="12">
        <f>Table29[[#This Row],[Profit/Day (Coin)]]*30</f>
        <v>3600</v>
      </c>
      <c r="H20" s="12">
        <f>Table29[[#This Row],[Profit/Month (Coin)]]*12</f>
        <v>43200</v>
      </c>
      <c r="I20" s="4">
        <v>0.12</v>
      </c>
      <c r="J20" s="4">
        <v>0.84</v>
      </c>
      <c r="K20" s="4">
        <v>3.6</v>
      </c>
      <c r="L20" s="4">
        <v>43.8</v>
      </c>
    </row>
    <row r="21" spans="1:12" x14ac:dyDescent="0.35">
      <c r="A21" t="s">
        <v>44</v>
      </c>
      <c r="B21" s="2" t="s">
        <v>46</v>
      </c>
      <c r="C21" s="2" t="s">
        <v>20</v>
      </c>
      <c r="D21">
        <v>3</v>
      </c>
      <c r="E21">
        <v>0.09</v>
      </c>
      <c r="F21">
        <f>Table29[[#This Row],[Profit/Day (Coin)]]*7</f>
        <v>0.63</v>
      </c>
      <c r="G21">
        <f>Table29[[#This Row],[Profit/Day (Coin)]]*30</f>
        <v>2.6999999999999997</v>
      </c>
      <c r="H21" s="12">
        <f>Table29[[#This Row],[Profit/Month (Coin)]]*12</f>
        <v>32.4</v>
      </c>
      <c r="I21" s="4">
        <f>Table29[[#This Row],[Profit/Day (Coin)]]*'Crypto Market Price Data'!$C$34</f>
        <v>6.7071419999999993E-2</v>
      </c>
      <c r="J21" s="4">
        <f>Table29[[#This Row],[Profit/Week (Coin)]]*'Crypto Market Price Data'!$C$34</f>
        <v>0.46949993999999995</v>
      </c>
      <c r="K21" s="4">
        <f>Table29[[#This Row],[Profit/Month (Coin)]]*'Crypto Market Price Data'!$C$34</f>
        <v>2.0121425999999998</v>
      </c>
      <c r="L21" s="4">
        <f>Table29[[#This Row],[Profit/Year (Coin)]]*'Crypto Market Price Data'!$C$34</f>
        <v>24.145711199999997</v>
      </c>
    </row>
    <row r="22" spans="1:12" x14ac:dyDescent="0.35">
      <c r="B22" s="2"/>
      <c r="C22" s="2"/>
      <c r="H22" s="16" t="s">
        <v>35</v>
      </c>
      <c r="I22" s="11">
        <f>SUM(I20:I21)</f>
        <v>0.18707141999999999</v>
      </c>
      <c r="J22" s="11">
        <f>SUM(J20:J21)</f>
        <v>1.3094999399999998</v>
      </c>
      <c r="K22" s="11">
        <f>SUM(K20:K21)</f>
        <v>5.6121426000000003</v>
      </c>
      <c r="L22" s="11">
        <f>SUM(L20:L21)</f>
        <v>67.945711199999991</v>
      </c>
    </row>
    <row r="23" spans="1:12" x14ac:dyDescent="0.35">
      <c r="B23" s="2"/>
      <c r="C23" s="2"/>
    </row>
    <row r="24" spans="1:12" ht="17" x14ac:dyDescent="0.4">
      <c r="A24" s="7" t="s">
        <v>48</v>
      </c>
      <c r="B24" s="2"/>
      <c r="C24" s="2"/>
    </row>
    <row r="25" spans="1:12" x14ac:dyDescent="0.35">
      <c r="A25" t="s">
        <v>48</v>
      </c>
      <c r="B25" s="2" t="s">
        <v>12</v>
      </c>
      <c r="C25" s="2" t="s">
        <v>23</v>
      </c>
      <c r="D25" s="2" t="s">
        <v>29</v>
      </c>
      <c r="E25" s="2" t="s">
        <v>49</v>
      </c>
      <c r="F25" s="2" t="s">
        <v>31</v>
      </c>
      <c r="G25" s="2" t="s">
        <v>32</v>
      </c>
    </row>
    <row r="26" spans="1:12" x14ac:dyDescent="0.35">
      <c r="A26" t="s">
        <v>4</v>
      </c>
      <c r="B26" s="2" t="s">
        <v>46</v>
      </c>
      <c r="C26" s="2" t="s">
        <v>50</v>
      </c>
      <c r="D26" s="4">
        <v>0.4</v>
      </c>
      <c r="E26" s="4">
        <f>Table30[[#This Row],[Profit/Day ($)]]*7</f>
        <v>2.8000000000000003</v>
      </c>
      <c r="F26" s="4">
        <f>Table30[[#This Row],[Profit/Day ($)]]*30</f>
        <v>12</v>
      </c>
      <c r="G26" s="4">
        <f>Table30[[#This Row],[Profit/Month ($)]]*12</f>
        <v>144</v>
      </c>
    </row>
    <row r="27" spans="1:12" x14ac:dyDescent="0.35">
      <c r="C27" s="16" t="s">
        <v>51</v>
      </c>
      <c r="D27" s="11" cm="1">
        <f t="array" ref="D27">Table30[Profit/Day ($)]</f>
        <v>0.4</v>
      </c>
      <c r="E27" s="11" cm="1">
        <f t="array" ref="E27">Table30[Profit/Week($)]</f>
        <v>2.8000000000000003</v>
      </c>
      <c r="F27" s="11" cm="1">
        <f t="array" ref="F27">Table30[Profit/Month ($)]</f>
        <v>12</v>
      </c>
      <c r="G27" s="11" cm="1">
        <f t="array" ref="G27">Table30[Profit/Year ($)]</f>
        <v>144</v>
      </c>
    </row>
    <row r="29" spans="1:12" ht="17" x14ac:dyDescent="0.4">
      <c r="A29" s="7" t="s">
        <v>63</v>
      </c>
    </row>
    <row r="30" spans="1:12" x14ac:dyDescent="0.35">
      <c r="A30" t="s">
        <v>64</v>
      </c>
      <c r="B30" s="2" t="s">
        <v>23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49</v>
      </c>
      <c r="I30" s="2" t="s">
        <v>31</v>
      </c>
      <c r="J30" s="2" t="s">
        <v>32</v>
      </c>
    </row>
    <row r="31" spans="1:12" x14ac:dyDescent="0.35">
      <c r="A31" t="s">
        <v>829</v>
      </c>
      <c r="B31" s="2" t="s">
        <v>18</v>
      </c>
      <c r="C31">
        <v>0.20799999999999999</v>
      </c>
      <c r="D31">
        <f>Table31[[#This Row],[Profit/Day (Coin)]]*7</f>
        <v>1.456</v>
      </c>
      <c r="E31">
        <f>Table31[[#This Row],[Profit/Day (Coin)]]*30</f>
        <v>6.2399999999999993</v>
      </c>
      <c r="F31">
        <f>Table31[[#This Row],[Profit/Month (Coin)]]*12</f>
        <v>74.88</v>
      </c>
      <c r="G31" s="4">
        <f>Table31[[#This Row],[Profit/Day (Coin)]]*'Crypto Market Price Data'!$C$19</f>
        <v>0.20700284799999999</v>
      </c>
      <c r="H31" s="4">
        <f>Table31[[#This Row],[Profit/Week (Coin)]]*'Crypto Market Price Data'!$C$19</f>
        <v>1.449019936</v>
      </c>
      <c r="I31" s="4">
        <f>Table31[[#This Row],[Profit/Month (Coin)]]*'Crypto Market Price Data'!$C$19</f>
        <v>6.2100854399999994</v>
      </c>
      <c r="J31" s="4">
        <f>Table31[[#This Row],[Profit/Year (Coin)]]*'Crypto Market Price Data'!$C$19</f>
        <v>74.521025280000003</v>
      </c>
    </row>
    <row r="32" spans="1:12" x14ac:dyDescent="0.35">
      <c r="A32" t="s">
        <v>65</v>
      </c>
      <c r="B32" s="2" t="s">
        <v>66</v>
      </c>
      <c r="C32">
        <v>19</v>
      </c>
      <c r="D32">
        <f>Table31[[#This Row],[Profit/Day (Coin)]]*7</f>
        <v>133</v>
      </c>
      <c r="E32">
        <f>Table31[[#This Row],[Profit/Day (Coin)]]*30</f>
        <v>570</v>
      </c>
      <c r="F32">
        <f>Table31[[#This Row],[Profit/Month (Coin)]]*12</f>
        <v>6840</v>
      </c>
      <c r="G32" s="4">
        <f>Table31[[#This Row],[Profit/Day (Coin)]]*'Crypto Market Price Data'!$C$24</f>
        <v>2.2209100000000002E-2</v>
      </c>
      <c r="H32" s="4">
        <f>Table31[[#This Row],[Profit/Week (Coin)]]*'Crypto Market Price Data'!$C$24</f>
        <v>0.15546370000000001</v>
      </c>
      <c r="I32" s="4">
        <f>Table31[[#This Row],[Profit/Month (Coin)]]*'Crypto Market Price Data'!$C$24</f>
        <v>0.666273</v>
      </c>
      <c r="J32" s="4">
        <f>Table31[[#This Row],[Profit/Year (Coin)]]*'Crypto Market Price Data'!$C$24</f>
        <v>7.9952760000000005</v>
      </c>
    </row>
    <row r="33" spans="1:14" x14ac:dyDescent="0.35">
      <c r="A33" t="s">
        <v>8</v>
      </c>
      <c r="B33" s="2"/>
      <c r="G33" s="4"/>
      <c r="H33" s="4"/>
      <c r="I33" s="4"/>
      <c r="J33" s="4"/>
    </row>
    <row r="34" spans="1:14" x14ac:dyDescent="0.35">
      <c r="A34" t="s">
        <v>67</v>
      </c>
      <c r="B34" s="2" t="s">
        <v>19</v>
      </c>
      <c r="C34">
        <v>0.22</v>
      </c>
      <c r="D34">
        <f>Table31[[#This Row],[Profit/Day (Coin)]]*7</f>
        <v>1.54</v>
      </c>
      <c r="E34">
        <f>Table31[[#This Row],[Profit/Day (Coin)]]*30</f>
        <v>6.6</v>
      </c>
      <c r="F34">
        <f>Table31[[#This Row],[Profit/Month (Coin)]]*12</f>
        <v>79.199999999999989</v>
      </c>
      <c r="G34" s="4">
        <f>Table31[[#This Row],[Profit/Day (Coin)]]*'Crypto Market Price Data'!$C$22</f>
        <v>1.2326380000000001E-2</v>
      </c>
      <c r="H34" s="4">
        <f>Table31[[#This Row],[Profit/Week (Coin)]]*'Crypto Market Price Data'!$C$22</f>
        <v>8.6284659999999999E-2</v>
      </c>
      <c r="I34" s="4">
        <f>Table31[[#This Row],[Profit/Month (Coin)]]*'Crypto Market Price Data'!$C$22</f>
        <v>0.36979139999999999</v>
      </c>
      <c r="J34" s="4">
        <f>Table31[[#This Row],[Profit/Year (Coin)]]*'Crypto Market Price Data'!$C$22</f>
        <v>4.4374967999999999</v>
      </c>
    </row>
    <row r="35" spans="1:14" x14ac:dyDescent="0.35">
      <c r="A35" t="s">
        <v>68</v>
      </c>
      <c r="B35" s="2" t="s">
        <v>16</v>
      </c>
      <c r="C35">
        <v>0.2</v>
      </c>
      <c r="D35">
        <f>Table31[[#This Row],[Profit/Day (Coin)]]*7</f>
        <v>1.4000000000000001</v>
      </c>
      <c r="E35">
        <f>Table31[[#This Row],[Profit/Day (Coin)]]*30</f>
        <v>6</v>
      </c>
      <c r="F35">
        <f>Table31[[#This Row],[Profit/Month (Coin)]]*12</f>
        <v>72</v>
      </c>
      <c r="G35" s="4">
        <f>Table31[[#This Row],[Profit/Day (Coin)]]*'Crypto Market Price Data'!$C$11</f>
        <v>0.19989380000000001</v>
      </c>
      <c r="H35" s="4">
        <f>Table31[[#This Row],[Profit/Week (Coin)]]*'Crypto Market Price Data'!$C$11</f>
        <v>1.3992566000000002</v>
      </c>
      <c r="I35" s="4">
        <f>Table31[[#This Row],[Profit/Month (Coin)]]*'Crypto Market Price Data'!$C$11</f>
        <v>5.9968140000000005</v>
      </c>
      <c r="J35" s="4">
        <f>Table31[[#This Row],[Profit/Year (Coin)]]*'Crypto Market Price Data'!$C$11</f>
        <v>71.961768000000006</v>
      </c>
    </row>
    <row r="36" spans="1:14" x14ac:dyDescent="0.35">
      <c r="A36" t="s">
        <v>10</v>
      </c>
      <c r="B36" s="2" t="s">
        <v>69</v>
      </c>
      <c r="C36">
        <v>1</v>
      </c>
      <c r="D36">
        <f>Table31[[#This Row],[Profit/Day (Coin)]]*7</f>
        <v>7</v>
      </c>
      <c r="E36">
        <f>Table31[[#This Row],[Profit/Day (Coin)]]*30</f>
        <v>30</v>
      </c>
      <c r="F36">
        <f>Table31[[#This Row],[Profit/Month (Coin)]]*12</f>
        <v>360</v>
      </c>
      <c r="G36" s="4">
        <f>Table31[[#This Row],[Profit/Day (Coin)]]*'Crypto Market Price Data'!$C$26</f>
        <v>2.6213179999999999E-2</v>
      </c>
      <c r="H36" s="4">
        <f>Table31[[#This Row],[Profit/Week (Coin)]]*'Crypto Market Price Data'!$C$26</f>
        <v>0.18349225999999999</v>
      </c>
      <c r="I36" s="4">
        <f>Table31[[#This Row],[Profit/Month (Coin)]]*'Crypto Market Price Data'!$C$26</f>
        <v>0.78639539999999997</v>
      </c>
      <c r="J36" s="4">
        <f>Table31[[#This Row],[Profit/Year (Coin)]]*'Crypto Market Price Data'!$C$26</f>
        <v>9.4367447999999996</v>
      </c>
    </row>
    <row r="37" spans="1:14" x14ac:dyDescent="0.35">
      <c r="A37" t="s">
        <v>9</v>
      </c>
      <c r="B37" s="2" t="s">
        <v>70</v>
      </c>
      <c r="G37" s="4"/>
      <c r="H37" s="4"/>
      <c r="I37" s="4"/>
      <c r="J37" s="4"/>
    </row>
    <row r="38" spans="1:14" x14ac:dyDescent="0.35">
      <c r="F38" s="16" t="s">
        <v>35</v>
      </c>
      <c r="G38" s="11">
        <f>SUM(Table31[Profit/Day ($)])</f>
        <v>0.46764530799999998</v>
      </c>
      <c r="H38" s="11">
        <f>SUM(Table31[Profit/Week($)])</f>
        <v>3.273517156</v>
      </c>
      <c r="I38" s="11">
        <f>SUM(Table31[Profit/Month ($)])</f>
        <v>14.02935924</v>
      </c>
      <c r="J38" s="11">
        <f>SUM(Table31[Profit/Year ($)])</f>
        <v>168.35231088</v>
      </c>
    </row>
    <row r="39" spans="1:14" x14ac:dyDescent="0.35">
      <c r="F39" s="4"/>
      <c r="G39" s="4"/>
      <c r="H39" s="4"/>
      <c r="I39" s="4"/>
    </row>
    <row r="40" spans="1:14" ht="17" x14ac:dyDescent="0.4">
      <c r="A40" s="7" t="s">
        <v>71</v>
      </c>
      <c r="G40" t="s">
        <v>91</v>
      </c>
    </row>
    <row r="41" spans="1:14" x14ac:dyDescent="0.35">
      <c r="A41" t="s">
        <v>72</v>
      </c>
      <c r="B41" s="2" t="s">
        <v>23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29</v>
      </c>
      <c r="L41" s="2" t="s">
        <v>49</v>
      </c>
      <c r="M41" s="2" t="s">
        <v>31</v>
      </c>
      <c r="N41" s="2" t="s">
        <v>32</v>
      </c>
    </row>
    <row r="42" spans="1:14" x14ac:dyDescent="0.35">
      <c r="A42" t="s">
        <v>81</v>
      </c>
      <c r="B42" s="2"/>
    </row>
    <row r="43" spans="1:14" x14ac:dyDescent="0.35">
      <c r="A43" t="s">
        <v>82</v>
      </c>
      <c r="B43" s="2" t="s">
        <v>83</v>
      </c>
      <c r="C43" s="15">
        <v>1.1100000000000001E-9</v>
      </c>
      <c r="D43" s="17">
        <v>60</v>
      </c>
      <c r="E43" s="15">
        <f>Table32[[#This Row],[Base Rate per Rarity/Second]]*Table32[[#This Row],[Number of Items]]</f>
        <v>6.6600000000000001E-8</v>
      </c>
      <c r="F43" s="15">
        <f>(Table32[[#This Row],[Pre Total/Sec]]*0.05)+Table32[[#This Row],[Pre Total/Sec]]</f>
        <v>6.9930000000000005E-8</v>
      </c>
      <c r="G43" s="15">
        <f>Table32[[#This Row],[Badges (5%)]]*30</f>
        <v>2.0979000000000003E-6</v>
      </c>
      <c r="H43" s="14">
        <f>Table32[[#This Row],[Bonus (x30)]]</f>
        <v>2.0979000000000003E-6</v>
      </c>
      <c r="I43" s="14">
        <f>Table32[[#This Row],[Profit/Sec ($)]]*60</f>
        <v>1.2587400000000002E-4</v>
      </c>
      <c r="J43" s="14">
        <f>Table32[[#This Row],[Profit/Min ($)]]*60</f>
        <v>7.5524400000000014E-3</v>
      </c>
      <c r="K43" s="14">
        <f>Table32[[#This Row],[Profit/Hour ($)]]*24</f>
        <v>0.18125856000000004</v>
      </c>
      <c r="L43" s="14">
        <f>Table32[[#This Row],[Profit/Day ($)]]*7</f>
        <v>1.2688099200000003</v>
      </c>
      <c r="M43" s="14">
        <f>Table32[[#This Row],[Profit/Day ($)]]*30</f>
        <v>5.4377568000000016</v>
      </c>
      <c r="N43" s="14">
        <f>Table32[[#This Row],[Profit/Month ($)]]*12</f>
        <v>65.253081600000016</v>
      </c>
    </row>
    <row r="44" spans="1:14" x14ac:dyDescent="0.35">
      <c r="A44" t="s">
        <v>84</v>
      </c>
      <c r="B44" s="2" t="s">
        <v>83</v>
      </c>
      <c r="C44" s="15">
        <v>1.6600000000000001E-9</v>
      </c>
      <c r="D44" s="17">
        <v>37</v>
      </c>
      <c r="E44" s="15">
        <f>Table32[[#This Row],[Base Rate per Rarity/Second]]*Table32[[#This Row],[Number of Items]]</f>
        <v>6.1420000000000003E-8</v>
      </c>
      <c r="F44" s="15">
        <f>(Table32[[#This Row],[Pre Total/Sec]]*0.05)+Table32[[#This Row],[Pre Total/Sec]]</f>
        <v>6.4491000000000005E-8</v>
      </c>
      <c r="G44" s="15">
        <f>Table32[[#This Row],[Badges (5%)]]*30</f>
        <v>1.9347300000000003E-6</v>
      </c>
      <c r="H44" s="14">
        <f>Table32[[#This Row],[Bonus (x30)]]</f>
        <v>1.9347300000000003E-6</v>
      </c>
      <c r="I44" s="14">
        <f>Table32[[#This Row],[Profit/Sec ($)]]*60</f>
        <v>1.1608380000000002E-4</v>
      </c>
      <c r="J44" s="14">
        <f>Table32[[#This Row],[Profit/Min ($)]]*60</f>
        <v>6.9650280000000016E-3</v>
      </c>
      <c r="K44" s="14">
        <f>Table32[[#This Row],[Profit/Hour ($)]]*24</f>
        <v>0.16716067200000004</v>
      </c>
      <c r="L44" s="14">
        <f>Table32[[#This Row],[Profit/Day ($)]]*7</f>
        <v>1.1701247040000002</v>
      </c>
      <c r="M44" s="14">
        <f>Table32[[#This Row],[Profit/Day ($)]]*30</f>
        <v>5.0148201600000011</v>
      </c>
      <c r="N44" s="14">
        <f>Table32[[#This Row],[Profit/Month ($)]]*12</f>
        <v>60.177841920000013</v>
      </c>
    </row>
    <row r="45" spans="1:14" x14ac:dyDescent="0.35">
      <c r="A45" t="s">
        <v>85</v>
      </c>
      <c r="B45" s="2" t="s">
        <v>83</v>
      </c>
      <c r="C45" s="15">
        <v>2.2200000000000002E-9</v>
      </c>
      <c r="D45" s="17">
        <v>17</v>
      </c>
      <c r="E45" s="15">
        <f>Table32[[#This Row],[Base Rate per Rarity/Second]]*Table32[[#This Row],[Number of Items]]</f>
        <v>3.7740000000000006E-8</v>
      </c>
      <c r="F45" s="15">
        <f>(Table32[[#This Row],[Pre Total/Sec]]*0.05)+Table32[[#This Row],[Pre Total/Sec]]</f>
        <v>3.9627000000000008E-8</v>
      </c>
      <c r="G45" s="15">
        <f>Table32[[#This Row],[Badges (5%)]]*30</f>
        <v>1.1888100000000002E-6</v>
      </c>
      <c r="H45" s="14">
        <f>Table32[[#This Row],[Bonus (x30)]]</f>
        <v>1.1888100000000002E-6</v>
      </c>
      <c r="I45" s="14">
        <f>Table32[[#This Row],[Profit/Sec ($)]]*60</f>
        <v>7.132860000000002E-5</v>
      </c>
      <c r="J45" s="14">
        <f>Table32[[#This Row],[Profit/Min ($)]]*60</f>
        <v>4.2797160000000011E-3</v>
      </c>
      <c r="K45" s="14">
        <f>Table32[[#This Row],[Profit/Hour ($)]]*24</f>
        <v>0.10271318400000003</v>
      </c>
      <c r="L45" s="14">
        <f>Table32[[#This Row],[Profit/Day ($)]]*7</f>
        <v>0.71899228800000015</v>
      </c>
      <c r="M45" s="14">
        <f>Table32[[#This Row],[Profit/Day ($)]]*30</f>
        <v>3.0813955200000009</v>
      </c>
      <c r="N45" s="14">
        <f>Table32[[#This Row],[Profit/Month ($)]]*12</f>
        <v>36.976746240000011</v>
      </c>
    </row>
    <row r="46" spans="1:14" x14ac:dyDescent="0.35">
      <c r="A46" t="s">
        <v>86</v>
      </c>
      <c r="B46" s="2" t="s">
        <v>83</v>
      </c>
      <c r="C46" s="15">
        <v>4.4400000000000004E-9</v>
      </c>
      <c r="D46" s="17">
        <v>4</v>
      </c>
      <c r="E46" s="15">
        <f>Table32[[#This Row],[Base Rate per Rarity/Second]]*Table32[[#This Row],[Number of Items]]</f>
        <v>1.7760000000000002E-8</v>
      </c>
      <c r="F46" s="15">
        <f>(Table32[[#This Row],[Pre Total/Sec]]*0.05)+Table32[[#This Row],[Pre Total/Sec]]</f>
        <v>1.8648000000000003E-8</v>
      </c>
      <c r="G46" s="15">
        <f>Table32[[#This Row],[Badges (5%)]]*30</f>
        <v>5.5944000000000004E-7</v>
      </c>
      <c r="H46" s="14">
        <f>Table32[[#This Row],[Bonus (x30)]]</f>
        <v>5.5944000000000004E-7</v>
      </c>
      <c r="I46" s="14">
        <f>Table32[[#This Row],[Profit/Sec ($)]]*60</f>
        <v>3.3566400000000004E-5</v>
      </c>
      <c r="J46" s="14">
        <f>Table32[[#This Row],[Profit/Min ($)]]*60</f>
        <v>2.0139840000000003E-3</v>
      </c>
      <c r="K46" s="14">
        <f>Table32[[#This Row],[Profit/Hour ($)]]*24</f>
        <v>4.8335616000000012E-2</v>
      </c>
      <c r="L46" s="14">
        <f>Table32[[#This Row],[Profit/Day ($)]]*7</f>
        <v>0.33834931200000007</v>
      </c>
      <c r="M46" s="14">
        <f>Table32[[#This Row],[Profit/Day ($)]]*30</f>
        <v>1.4500684800000003</v>
      </c>
      <c r="N46" s="14">
        <f>Table32[[#This Row],[Profit/Month ($)]]*12</f>
        <v>17.400821760000003</v>
      </c>
    </row>
    <row r="47" spans="1:14" x14ac:dyDescent="0.35">
      <c r="B47" s="16" t="s">
        <v>35</v>
      </c>
      <c r="C47" s="18">
        <f>SUM(C43:C46)</f>
        <v>9.4300000000000007E-9</v>
      </c>
      <c r="D47" s="6">
        <f>SUM(D43:D46)</f>
        <v>118</v>
      </c>
      <c r="E47" s="18">
        <f>SUM(E43:E46)</f>
        <v>1.8352000000000002E-7</v>
      </c>
      <c r="F47" s="18">
        <f t="shared" ref="F47:N47" si="0">SUM(F43:F46)</f>
        <v>1.9269600000000002E-7</v>
      </c>
      <c r="G47" s="18">
        <f>SUM(G43:G46)</f>
        <v>5.7808800000000011E-6</v>
      </c>
      <c r="H47" s="98">
        <f>SUM(H43:H46)</f>
        <v>5.7808800000000011E-6</v>
      </c>
      <c r="I47" s="98">
        <f t="shared" si="0"/>
        <v>3.4685280000000009E-4</v>
      </c>
      <c r="J47" s="98">
        <f t="shared" si="0"/>
        <v>2.0811168000000001E-2</v>
      </c>
      <c r="K47" s="98">
        <f>SUM(K43:K46)</f>
        <v>0.49946803200000012</v>
      </c>
      <c r="L47" s="98">
        <f t="shared" si="0"/>
        <v>3.4962762240000007</v>
      </c>
      <c r="M47" s="98">
        <f t="shared" si="0"/>
        <v>14.984040960000003</v>
      </c>
      <c r="N47" s="98">
        <f t="shared" si="0"/>
        <v>179.80849152000005</v>
      </c>
    </row>
    <row r="48" spans="1:14" x14ac:dyDescent="0.35">
      <c r="H48" s="4"/>
      <c r="I48" s="4"/>
      <c r="J48" s="4"/>
      <c r="K48" s="4"/>
      <c r="L48" s="4"/>
      <c r="M48" s="4"/>
      <c r="N48" s="4"/>
    </row>
    <row r="49" spans="1:14" ht="17" x14ac:dyDescent="0.4">
      <c r="A49" s="7" t="s">
        <v>52</v>
      </c>
      <c r="L49" s="4"/>
      <c r="M49" s="4"/>
      <c r="N49" s="4"/>
    </row>
    <row r="50" spans="1:14" x14ac:dyDescent="0.35">
      <c r="A50" t="s">
        <v>53</v>
      </c>
      <c r="B50" s="2" t="s">
        <v>23</v>
      </c>
      <c r="C50" s="2" t="s">
        <v>54</v>
      </c>
      <c r="D50" s="2" t="s">
        <v>55</v>
      </c>
      <c r="E50" s="2" t="s">
        <v>56</v>
      </c>
      <c r="F50" s="2" t="s">
        <v>57</v>
      </c>
      <c r="G50" s="2" t="s">
        <v>58</v>
      </c>
      <c r="H50" s="2" t="s">
        <v>29</v>
      </c>
      <c r="I50" s="2" t="s">
        <v>49</v>
      </c>
      <c r="J50" s="2" t="s">
        <v>31</v>
      </c>
      <c r="K50" s="2" t="s">
        <v>32</v>
      </c>
      <c r="L50" s="4"/>
      <c r="M50" s="4"/>
      <c r="N50" s="4"/>
    </row>
    <row r="51" spans="1:14" x14ac:dyDescent="0.35">
      <c r="A51" t="s">
        <v>59</v>
      </c>
      <c r="B51" s="2"/>
      <c r="L51" s="4"/>
      <c r="M51" s="4"/>
      <c r="N51" s="4"/>
    </row>
    <row r="52" spans="1:14" x14ac:dyDescent="0.35">
      <c r="A52" t="s">
        <v>60</v>
      </c>
      <c r="B52" s="2" t="s">
        <v>61</v>
      </c>
      <c r="C52">
        <v>22.7</v>
      </c>
      <c r="D52">
        <f>Table33[[#This Row],[Points/Hour]]*24</f>
        <v>544.79999999999995</v>
      </c>
      <c r="E52">
        <f>Table33[[#This Row],[Points/Day]]*7</f>
        <v>3813.5999999999995</v>
      </c>
      <c r="F52">
        <f>Table33[[#This Row],[Points/Day]]*30</f>
        <v>16343.999999999998</v>
      </c>
      <c r="G52">
        <f>Table33[[#This Row],[Points/Month]]*12</f>
        <v>196127.99999999997</v>
      </c>
      <c r="H52" s="4">
        <f>Table33[[#This Row],[Points/Day]]/1000</f>
        <v>0.54479999999999995</v>
      </c>
      <c r="I52" s="4">
        <f>Table33[[#This Row],[Points/Week]]/1000</f>
        <v>3.8135999999999997</v>
      </c>
      <c r="J52" s="4">
        <f>Table33[[#This Row],[Points/Month]]/1000</f>
        <v>16.343999999999998</v>
      </c>
      <c r="K52" s="4">
        <f>Table33[[#This Row],[Points/Year]]/1000</f>
        <v>196.12799999999996</v>
      </c>
    </row>
    <row r="53" spans="1:14" x14ac:dyDescent="0.35">
      <c r="A53" t="s">
        <v>62</v>
      </c>
      <c r="B53" s="2" t="s">
        <v>61</v>
      </c>
      <c r="C53">
        <v>22.7</v>
      </c>
      <c r="D53">
        <f>Table33[[#This Row],[Points/Hour]]*24</f>
        <v>544.79999999999995</v>
      </c>
      <c r="E53">
        <f>Table33[[#This Row],[Points/Day]]*7</f>
        <v>3813.5999999999995</v>
      </c>
      <c r="F53">
        <f>Table33[[#This Row],[Points/Day]]*30</f>
        <v>16343.999999999998</v>
      </c>
      <c r="G53">
        <f>Table33[[#This Row],[Points/Month]]*12</f>
        <v>196127.99999999997</v>
      </c>
      <c r="H53" s="4">
        <f>Table33[[#This Row],[Points/Day]]/1000</f>
        <v>0.54479999999999995</v>
      </c>
      <c r="I53" s="4">
        <f>Table33[[#This Row],[Points/Week]]/1000</f>
        <v>3.8135999999999997</v>
      </c>
      <c r="J53" s="4">
        <f>Table33[[#This Row],[Points/Month]]/1000</f>
        <v>16.343999999999998</v>
      </c>
      <c r="K53" s="4">
        <f>Table33[[#This Row],[Points/Year]]/1000</f>
        <v>196.12799999999996</v>
      </c>
    </row>
    <row r="54" spans="1:14" x14ac:dyDescent="0.35">
      <c r="G54" s="16" t="s">
        <v>35</v>
      </c>
      <c r="H54" s="11">
        <f>SUM(H52:H53)</f>
        <v>1.0895999999999999</v>
      </c>
      <c r="I54" s="11">
        <f>SUM(I52:I53)</f>
        <v>7.6271999999999993</v>
      </c>
      <c r="J54" s="11">
        <f>SUM(J52:J53)</f>
        <v>32.687999999999995</v>
      </c>
      <c r="K54" s="11">
        <f>SUM(K52:K53)</f>
        <v>392.25599999999991</v>
      </c>
    </row>
    <row r="55" spans="1:14" x14ac:dyDescent="0.35">
      <c r="G55" s="16"/>
      <c r="H55" s="11"/>
      <c r="I55" s="11"/>
      <c r="J55" s="11"/>
      <c r="K55" s="11"/>
    </row>
    <row r="56" spans="1:14" ht="17" x14ac:dyDescent="0.4">
      <c r="A56" s="7" t="s">
        <v>856</v>
      </c>
      <c r="F56" s="19">
        <v>45261</v>
      </c>
      <c r="G56" s="16"/>
      <c r="H56" s="11"/>
      <c r="I56" s="11"/>
      <c r="J56" s="11"/>
      <c r="K56" s="11"/>
    </row>
    <row r="57" spans="1:14" x14ac:dyDescent="0.35">
      <c r="A57" t="s">
        <v>115</v>
      </c>
      <c r="B57" s="2" t="s">
        <v>116</v>
      </c>
      <c r="C57" s="2" t="s">
        <v>23</v>
      </c>
      <c r="D57" s="2" t="s">
        <v>118</v>
      </c>
      <c r="E57" s="2" t="s">
        <v>125</v>
      </c>
      <c r="F57" s="2" t="s">
        <v>1184</v>
      </c>
      <c r="G57" s="6" t="s">
        <v>120</v>
      </c>
      <c r="H57" s="6" t="s">
        <v>121</v>
      </c>
      <c r="I57" s="2" t="s">
        <v>29</v>
      </c>
      <c r="J57" s="2" t="s">
        <v>49</v>
      </c>
      <c r="K57" s="2" t="s">
        <v>31</v>
      </c>
      <c r="L57" s="2" t="s">
        <v>32</v>
      </c>
    </row>
    <row r="58" spans="1:14" x14ac:dyDescent="0.35">
      <c r="A58" t="s">
        <v>142</v>
      </c>
      <c r="F58" s="24"/>
      <c r="G58" s="16"/>
      <c r="H58" s="31"/>
      <c r="I58" s="11"/>
      <c r="J58" s="11"/>
      <c r="K58" s="11"/>
    </row>
    <row r="59" spans="1:14" x14ac:dyDescent="0.35">
      <c r="A59" t="s">
        <v>67</v>
      </c>
      <c r="B59" s="21">
        <v>44945</v>
      </c>
      <c r="C59" s="2" t="s">
        <v>20</v>
      </c>
      <c r="D59">
        <v>22.90476</v>
      </c>
      <c r="E59" s="4">
        <f>D59*'Crypto Market Price Data'!$C$34</f>
        <v>17.06949753288</v>
      </c>
      <c r="F59" s="24">
        <f>23.24261+3.37268</f>
        <v>26.615289999999998</v>
      </c>
      <c r="G59" s="32">
        <v>0.14000000000000001</v>
      </c>
      <c r="H59">
        <f>(Table14[[#This Row],[Todays Amount (Coin)]]*G59)/365</f>
        <v>1.0208604383561644E-2</v>
      </c>
      <c r="I59" s="4">
        <f>Table14[[#This Row],[Current APR Amount (Daily)]]*'Crypto Market Price Data'!$C$34</f>
        <v>7.6078399135967121E-3</v>
      </c>
      <c r="J59" s="4">
        <f>Table14[[#This Row],[Profit/Day ($)]]*7</f>
        <v>5.3254879395176986E-2</v>
      </c>
      <c r="K59" s="4">
        <f>Table14[[#This Row],[Profit/Day ($)]]*30</f>
        <v>0.22823519740790135</v>
      </c>
      <c r="L59" s="4">
        <f>Table14[[#This Row],[Profit/Day ($)]]*365</f>
        <v>2.7768615684627997</v>
      </c>
    </row>
    <row r="60" spans="1:14" x14ac:dyDescent="0.35">
      <c r="A60" t="s">
        <v>124</v>
      </c>
      <c r="B60" s="2"/>
      <c r="C60" s="2"/>
      <c r="F60" s="24"/>
      <c r="G60" s="33"/>
      <c r="I60" s="4"/>
      <c r="J60" s="4" t="s">
        <v>6</v>
      </c>
      <c r="K60" s="4"/>
      <c r="L60" s="4"/>
    </row>
    <row r="61" spans="1:14" x14ac:dyDescent="0.35">
      <c r="A61" t="s">
        <v>855</v>
      </c>
      <c r="B61" s="21">
        <v>44592</v>
      </c>
      <c r="C61" s="2" t="s">
        <v>18</v>
      </c>
      <c r="D61">
        <v>74.248000000000005</v>
      </c>
      <c r="E61" s="9">
        <f>D61*'Crypto Market Price Data'!$C$19</f>
        <v>73.892055088000006</v>
      </c>
      <c r="F61" s="24">
        <f>'Crypto Claims'!C60</f>
        <v>102.62111400000001</v>
      </c>
      <c r="G61" s="32">
        <v>0.35</v>
      </c>
      <c r="H61">
        <f>(Table14[[#This Row],[Todays Amount (Coin)]]*G61)/365</f>
        <v>9.8403807945205465E-2</v>
      </c>
      <c r="I61" s="4">
        <f>Table14[[#This Row],[Current APR Amount (Daily)]]*'Crypto Market Price Data'!$C$19</f>
        <v>9.7932060089916159E-2</v>
      </c>
      <c r="J61" s="4">
        <f>Table14[[#This Row],[Profit/Day ($)]]*7</f>
        <v>0.6855244206294131</v>
      </c>
      <c r="K61" s="4">
        <f>Table14[[#This Row],[Profit/Day ($)]]*30</f>
        <v>2.937961802697485</v>
      </c>
      <c r="L61" s="4">
        <f>Table14[[#This Row],[Profit/Day ($)]]*365</f>
        <v>35.745201932819398</v>
      </c>
    </row>
    <row r="62" spans="1:14" x14ac:dyDescent="0.35">
      <c r="H62" s="16" t="s">
        <v>35</v>
      </c>
      <c r="I62" s="11">
        <f>SUM(Table14[Profit/Day ($)])</f>
        <v>0.10553990000351288</v>
      </c>
      <c r="J62" s="11">
        <f>SUM(Table14[Profit/Week($)])</f>
        <v>0.73877930002459014</v>
      </c>
      <c r="K62" s="11">
        <f>SUM(Table14[Profit/Month ($)])</f>
        <v>3.1661970001053863</v>
      </c>
      <c r="L62" s="11">
        <f>SUM(Table14[Profit/Year ($)])</f>
        <v>38.522063501282197</v>
      </c>
    </row>
    <row r="63" spans="1:14" x14ac:dyDescent="0.35">
      <c r="H63" s="4"/>
      <c r="I63" s="4"/>
      <c r="J63" s="4"/>
      <c r="K63" s="4"/>
    </row>
    <row r="65" spans="1:4" x14ac:dyDescent="0.35">
      <c r="A65" t="s">
        <v>87</v>
      </c>
      <c r="B65" t="s">
        <v>88</v>
      </c>
      <c r="C65" t="s">
        <v>89</v>
      </c>
      <c r="D65" t="s">
        <v>90</v>
      </c>
    </row>
    <row r="66" spans="1:4" x14ac:dyDescent="0.35">
      <c r="A66" s="9">
        <f>I9+I15+I22+D27+G38+K47+H54+I62</f>
        <v>3.7860646445205126</v>
      </c>
      <c r="B66" s="9">
        <f>J9+J15+J22+E27+H38+L47+I54+I62</f>
        <v>25.869213111622514</v>
      </c>
      <c r="C66" s="9">
        <f>K9+K15+K22+F27+I38+M47+J54+J62</f>
        <v>111.15452163553459</v>
      </c>
      <c r="D66" s="9">
        <f>L9+L15+L22+G27+J38+N47+K54+K62</f>
        <v>1328.7551050262252</v>
      </c>
    </row>
  </sheetData>
  <mergeCells count="2">
    <mergeCell ref="A1:B1"/>
    <mergeCell ref="A2:B2"/>
  </mergeCells>
  <phoneticPr fontId="2" type="noConversion"/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84A5-4D8C-4D27-A358-F682E14553BF}">
  <sheetPr codeName="Sheet9">
    <tabColor rgb="FFFF0000"/>
  </sheetPr>
  <dimension ref="A1:G35"/>
  <sheetViews>
    <sheetView zoomScale="65" workbookViewId="0">
      <selection activeCell="G11" sqref="G11"/>
    </sheetView>
  </sheetViews>
  <sheetFormatPr defaultRowHeight="14.5" x14ac:dyDescent="0.35"/>
  <cols>
    <col min="1" max="1" width="23.81640625" bestFit="1" customWidth="1"/>
    <col min="2" max="2" width="23.81640625" customWidth="1"/>
    <col min="3" max="3" width="12.90625" bestFit="1" customWidth="1"/>
    <col min="7" max="7" width="10.81640625" customWidth="1"/>
    <col min="8" max="8" width="17.08984375" customWidth="1"/>
    <col min="9" max="9" width="14.1796875" customWidth="1"/>
  </cols>
  <sheetData>
    <row r="1" spans="1:7" ht="21" x14ac:dyDescent="0.5">
      <c r="A1" s="172" t="s">
        <v>1451</v>
      </c>
      <c r="B1" s="172"/>
      <c r="C1" s="172"/>
    </row>
    <row r="2" spans="1:7" ht="18.5" x14ac:dyDescent="0.45">
      <c r="A2" s="170" t="s">
        <v>839</v>
      </c>
      <c r="B2" s="170"/>
      <c r="C2" s="170"/>
    </row>
    <row r="4" spans="1:7" ht="15" thickBot="1" x14ac:dyDescent="0.4">
      <c r="A4" s="133" t="s">
        <v>830</v>
      </c>
      <c r="B4" s="102" t="s">
        <v>1186</v>
      </c>
      <c r="C4" s="102" t="s">
        <v>1188</v>
      </c>
      <c r="G4" s="101"/>
    </row>
    <row r="5" spans="1:7" x14ac:dyDescent="0.35">
      <c r="A5" t="s">
        <v>831</v>
      </c>
      <c r="B5" s="2" t="s">
        <v>14</v>
      </c>
      <c r="C5" s="48" cm="1">
        <f t="array" ref="C5:C13">_xll.ART(B5:B13,C4)</f>
        <v>84995</v>
      </c>
    </row>
    <row r="6" spans="1:7" x14ac:dyDescent="0.35">
      <c r="A6" t="s">
        <v>828</v>
      </c>
      <c r="B6" s="2" t="s">
        <v>158</v>
      </c>
      <c r="C6" s="48">
        <v>2740.59</v>
      </c>
    </row>
    <row r="7" spans="1:7" x14ac:dyDescent="0.35">
      <c r="A7" t="s">
        <v>832</v>
      </c>
      <c r="B7" s="2" t="s">
        <v>163</v>
      </c>
      <c r="C7" s="48">
        <v>814.72</v>
      </c>
    </row>
    <row r="8" spans="1:7" x14ac:dyDescent="0.35">
      <c r="A8" t="s">
        <v>833</v>
      </c>
      <c r="B8" s="2" t="s">
        <v>213</v>
      </c>
      <c r="C8" s="48">
        <v>0.37649199999999999</v>
      </c>
    </row>
    <row r="9" spans="1:7" x14ac:dyDescent="0.35">
      <c r="A9" t="s">
        <v>834</v>
      </c>
      <c r="B9" s="2" t="s">
        <v>1185</v>
      </c>
      <c r="C9" s="48">
        <v>123.88</v>
      </c>
    </row>
    <row r="10" spans="1:7" x14ac:dyDescent="0.35">
      <c r="A10" t="s">
        <v>835</v>
      </c>
      <c r="B10" s="2" t="s">
        <v>1187</v>
      </c>
      <c r="C10" s="48">
        <v>7.9000000000000006E-6</v>
      </c>
    </row>
    <row r="11" spans="1:7" x14ac:dyDescent="0.35">
      <c r="A11" t="s">
        <v>836</v>
      </c>
      <c r="B11" s="2" t="s">
        <v>16</v>
      </c>
      <c r="C11" s="48">
        <v>0.99946900000000005</v>
      </c>
    </row>
    <row r="12" spans="1:7" x14ac:dyDescent="0.35">
      <c r="A12" t="s">
        <v>837</v>
      </c>
      <c r="B12" s="2" t="s">
        <v>175</v>
      </c>
      <c r="C12" s="48">
        <v>9.9949999999999997E-2</v>
      </c>
    </row>
    <row r="13" spans="1:7" x14ac:dyDescent="0.35">
      <c r="A13" t="s">
        <v>838</v>
      </c>
      <c r="B13" s="2" t="s">
        <v>17</v>
      </c>
      <c r="C13" s="48">
        <v>0.24937699999999999</v>
      </c>
    </row>
    <row r="14" spans="1:7" x14ac:dyDescent="0.35">
      <c r="C14" s="99"/>
    </row>
    <row r="15" spans="1:7" x14ac:dyDescent="0.35">
      <c r="C15" s="99"/>
    </row>
    <row r="16" spans="1:7" ht="15" thickBot="1" x14ac:dyDescent="0.4">
      <c r="A16" s="133" t="s">
        <v>1228</v>
      </c>
      <c r="B16" s="102" t="s">
        <v>1186</v>
      </c>
      <c r="C16" s="102" t="s">
        <v>1188</v>
      </c>
    </row>
    <row r="17" spans="1:3" x14ac:dyDescent="0.35">
      <c r="A17" t="s">
        <v>840</v>
      </c>
      <c r="B17" s="2" t="s">
        <v>1189</v>
      </c>
      <c r="C17" s="99" cm="1">
        <f t="array" ref="C17:C26">_xll.ART(B17:B26,C16)</f>
        <v>0.14774899999999999</v>
      </c>
    </row>
    <row r="18" spans="1:3" x14ac:dyDescent="0.35">
      <c r="A18" t="s">
        <v>841</v>
      </c>
      <c r="B18" s="2" t="s">
        <v>1190</v>
      </c>
      <c r="C18" s="99">
        <v>0.30617</v>
      </c>
    </row>
    <row r="19" spans="1:3" x14ac:dyDescent="0.35">
      <c r="A19" t="s">
        <v>842</v>
      </c>
      <c r="B19" s="2" t="s">
        <v>18</v>
      </c>
      <c r="C19" s="99">
        <v>0.99520600000000004</v>
      </c>
    </row>
    <row r="20" spans="1:3" x14ac:dyDescent="0.35">
      <c r="A20" t="s">
        <v>843</v>
      </c>
      <c r="B20" s="2" t="s">
        <v>1191</v>
      </c>
      <c r="C20" s="99">
        <v>0.139297</v>
      </c>
    </row>
    <row r="21" spans="1:3" x14ac:dyDescent="0.35">
      <c r="A21" t="s">
        <v>844</v>
      </c>
      <c r="B21" s="2" t="s">
        <v>160</v>
      </c>
      <c r="C21" s="99">
        <v>6.71289E-3</v>
      </c>
    </row>
    <row r="22" spans="1:3" x14ac:dyDescent="0.35">
      <c r="A22" t="s">
        <v>845</v>
      </c>
      <c r="B22" s="2" t="s">
        <v>19</v>
      </c>
      <c r="C22" s="99">
        <v>5.6029000000000002E-2</v>
      </c>
    </row>
    <row r="23" spans="1:3" x14ac:dyDescent="0.35">
      <c r="A23" t="s">
        <v>846</v>
      </c>
      <c r="B23" s="2" t="s">
        <v>171</v>
      </c>
      <c r="C23" s="99">
        <v>1.2539369999999999E-2</v>
      </c>
    </row>
    <row r="24" spans="1:3" x14ac:dyDescent="0.35">
      <c r="A24" t="s">
        <v>847</v>
      </c>
      <c r="B24" s="2" t="s">
        <v>66</v>
      </c>
      <c r="C24" s="4">
        <v>1.1689000000000001E-3</v>
      </c>
    </row>
    <row r="25" spans="1:3" x14ac:dyDescent="0.35">
      <c r="A25" t="s">
        <v>848</v>
      </c>
      <c r="B25" s="2" t="s">
        <v>1192</v>
      </c>
      <c r="C25" s="99">
        <v>7.9561900000000001E-3</v>
      </c>
    </row>
    <row r="26" spans="1:3" x14ac:dyDescent="0.35">
      <c r="A26" t="s">
        <v>849</v>
      </c>
      <c r="B26" s="2" t="s">
        <v>69</v>
      </c>
      <c r="C26" s="4">
        <v>2.6213179999999999E-2</v>
      </c>
    </row>
    <row r="27" spans="1:3" x14ac:dyDescent="0.35">
      <c r="C27" s="99"/>
    </row>
    <row r="28" spans="1:3" x14ac:dyDescent="0.35">
      <c r="C28" s="99"/>
    </row>
    <row r="29" spans="1:3" ht="15" thickBot="1" x14ac:dyDescent="0.4">
      <c r="A29" s="133" t="s">
        <v>1229</v>
      </c>
      <c r="B29" s="102" t="s">
        <v>1186</v>
      </c>
      <c r="C29" s="102" t="s">
        <v>1188</v>
      </c>
    </row>
    <row r="30" spans="1:3" x14ac:dyDescent="0.35">
      <c r="A30" t="s">
        <v>850</v>
      </c>
      <c r="B30" s="2" t="s">
        <v>233</v>
      </c>
      <c r="C30" s="99" cm="1">
        <f t="array" ref="C30:C35">_xll.ART(B30:B35,C29)</f>
        <v>4.7477600000000002E-3</v>
      </c>
    </row>
    <row r="31" spans="1:3" x14ac:dyDescent="0.35">
      <c r="A31" t="s">
        <v>851</v>
      </c>
      <c r="B31" s="2" t="s">
        <v>227</v>
      </c>
      <c r="C31" s="99">
        <v>0.60233300000000001</v>
      </c>
    </row>
    <row r="32" spans="1:3" x14ac:dyDescent="0.35">
      <c r="A32" t="s">
        <v>852</v>
      </c>
      <c r="B32" s="2" t="s">
        <v>1193</v>
      </c>
      <c r="C32" s="99">
        <v>0.225658</v>
      </c>
    </row>
    <row r="33" spans="1:3" x14ac:dyDescent="0.35">
      <c r="A33" t="s">
        <v>853</v>
      </c>
      <c r="B33" s="2" t="s">
        <v>261</v>
      </c>
      <c r="C33" s="99">
        <v>1.05E-4</v>
      </c>
    </row>
    <row r="34" spans="1:3" x14ac:dyDescent="0.35">
      <c r="A34" t="s">
        <v>854</v>
      </c>
      <c r="B34" s="2" t="s">
        <v>20</v>
      </c>
      <c r="C34" s="99">
        <v>0.74523799999999996</v>
      </c>
    </row>
    <row r="35" spans="1:3" x14ac:dyDescent="0.35">
      <c r="A35" t="s">
        <v>268</v>
      </c>
      <c r="B35" s="2" t="s">
        <v>1244</v>
      </c>
      <c r="C35" s="99">
        <v>1.5645800000000001E-3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7A06C-5C45-4DAC-B451-D285EFFB8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 "Project Overview"</vt:lpstr>
      <vt:lpstr>2023-24 Portfolio "Dashboard"</vt:lpstr>
      <vt:lpstr>2022-23 Portfolio "Dashboard"</vt:lpstr>
      <vt:lpstr>Crypto Ledger Wallet</vt:lpstr>
      <vt:lpstr>Expenses</vt:lpstr>
      <vt:lpstr>Work Hours </vt:lpstr>
      <vt:lpstr>Crypto Claims</vt:lpstr>
      <vt:lpstr>General Crypto Earnings</vt:lpstr>
      <vt:lpstr>Crypto Market Price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Fredrickson</dc:creator>
  <cp:lastModifiedBy>Daniel Fredrickson</cp:lastModifiedBy>
  <dcterms:created xsi:type="dcterms:W3CDTF">2022-10-29T16:35:56Z</dcterms:created>
  <dcterms:modified xsi:type="dcterms:W3CDTF">2025-12-10T00:34:04Z</dcterms:modified>
</cp:coreProperties>
</file>